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f8a2c49dbf47b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_Data" sheetId="1" r:id="R769f6286686a4176"/>
    <x:sheet xmlns:r="http://schemas.openxmlformats.org/officeDocument/2006/relationships" name="Supplier_Scorecard" sheetId="2" r:id="R1ff0e969991046bf"/>
    <x:sheet xmlns:r="http://schemas.openxmlformats.org/officeDocument/2006/relationships" name="Kanban_Planning" sheetId="3" r:id="R1a68fc63d4c546ac"/>
    <x:sheet xmlns:r="http://schemas.openxmlformats.org/officeDocument/2006/relationships" name="VSM" sheetId="4" r:id="R5c4346794cbc483e"/>
    <x:sheet xmlns:r="http://schemas.openxmlformats.org/officeDocument/2006/relationships" name="Dashboard" sheetId="5" r:id="Rba189174b84847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mmm-yy"/>
    <x:numFmt numFmtId="201" formatCode="$0.00"/>
    <x:numFmt numFmtId="202" formatCode="0.0%"/>
    <x:numFmt numFmtId="203" formatCode="$#,##0"/>
    <x:numFmt numFmtId="204" formatCode="0.0"/>
    <x:numFmt numFmtId="205" formatCode="0%"/>
    <x:numFmt numFmtId="206" formatCode="#,##0 &quot;units&quot;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horizontal="center"/>
    </x:xf>
    <x:xf numFmtId="0" fontId="2" fillId="4" borderId="0" xfId="0" applyNumberFormat="1" applyFont="1" applyFill="1" applyBorder="1" applyAlignment="1">
      <x:alignment horizontal="center" vertical="center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horizontal="center"/>
    </x:xf>
    <x:xf numFmtId="0" fontId="2" fillId="4" borderId="1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206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97bd6a33634298" /><Relationship Type="http://schemas.openxmlformats.org/officeDocument/2006/relationships/theme" Target="/xl/theme/theme1.xml" Id="R5198011aa8874f6c" /><Relationship Type="http://schemas.openxmlformats.org/officeDocument/2006/relationships/sharedStrings" Target="/xl/sharedStrings.xml" Id="Rd14324e6942c4fe2" /><Relationship Type="http://schemas.openxmlformats.org/officeDocument/2006/relationships/worksheet" Target="/xl/worksheets/sheet1.xml" Id="R769f6286686a4176" /><Relationship Type="http://schemas.openxmlformats.org/officeDocument/2006/relationships/worksheet" Target="/xl/worksheets/sheet2.xml" Id="R1ff0e969991046bf" /><Relationship Type="http://schemas.openxmlformats.org/officeDocument/2006/relationships/worksheet" Target="/xl/worksheets/sheet3.xml" Id="R1a68fc63d4c546ac" /><Relationship Type="http://schemas.openxmlformats.org/officeDocument/2006/relationships/worksheet" Target="/xl/worksheets/sheet4.xml" Id="R5c4346794cbc483e" /><Relationship Type="http://schemas.openxmlformats.org/officeDocument/2006/relationships/worksheet" Target="/xl/worksheets/sheet5.xml" Id="Rba189174b84847d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b05da10b93f40e7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barChart>
        <c:barDir val="col"/>
        <c:varyColors val="0"/>
        <c:ser>
          <c:idx val="0"/>
          <c:order val="0"/>
          <c:tx>
            <c:v>Current Travel (m)</c:v>
          </c:tx>
          <c:cat>
            <c:strRef>
              <c:f>'VSM'!$A$2:$A$7</c:f>
              <c:strCache>
                <c:ptCount val="0"/>
              </c:strCache>
            </c:strRef>
          </c:cat>
          <c:val>
            <c:numRef>
              <c:f>'VSM'!$E$2:$E$7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Future Travel (m)</c:v>
          </c:tx>
          <c:cat>
            <c:strRef>
              <c:f>'VSM'!$A$2:$A$7</c:f>
              <c:strCache>
                <c:ptCount val="0"/>
              </c:strCache>
            </c:strRef>
          </c:cat>
          <c:val>
            <c:numRef>
              <c:f>'VSM'!$H$2:$H$7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3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b05da10b93f40e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upplierDataTable" displayName="SupplierDataTable" ref="A1:N61" headerRowCount="1" totalsRowCount="0" totalsRowShown="0">
  <x:tableColumns count="14">
    <x:tableColumn id="1" name="Month"/>
    <x:tableColumn id="2" name="Supplier ID"/>
    <x:tableColumn id="3" name="Supplier"/>
    <x:tableColumn id="4" name="Component"/>
    <x:tableColumn id="5" name="Demand Units"/>
    <x:tableColumn id="6" name="Ordered Units"/>
    <x:tableColumn id="7" name="Received Units"/>
    <x:tableColumn id="8" name="Promised Lead Time (Days)"/>
    <x:tableColumn id="9" name="Actual Lead Time (Days)"/>
    <x:tableColumn id="10" name="Defect Units"/>
    <x:tableColumn id="11" name="Unit Cost ($)"/>
    <x:tableColumn id="12" name="On-Time Delivery"/>
    <x:tableColumn id="13" name="Fill Rate"/>
    <x:tableColumn id="14" name="Defect R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b3cc7a3f02944d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8b8ed873c22b4bc1" /></Relationships>
</file>

<file path=xl/worksheets/sheet1.xml><?xml version="1.0" encoding="utf-8"?>
<x:worksheet xmlns:x="http://schemas.openxmlformats.org/spreadsheetml/2006/main">
  <x:sheetFormatPr defaultRowHeight="15"/>
  <x:cols>
    <x:col min="1" max="1" width="8.25" hidden="0" customWidth="1"/>
    <x:col min="2" max="2" width="11.380000114440918" hidden="0" customWidth="1"/>
    <x:col min="3" max="3" width="22" hidden="0" customWidth="1"/>
    <x:col min="4" max="4" width="20" hidden="0" customWidth="1"/>
    <x:col min="5" max="5" width="13.880000114440918" hidden="0" customWidth="1"/>
    <x:col min="6" max="6" width="13.75" hidden="0" customWidth="1"/>
    <x:col min="7" max="7" width="14.25" hidden="0" customWidth="1"/>
    <x:col min="8" max="8" width="23.6299991607666" hidden="0" customWidth="1"/>
    <x:col min="9" max="9" width="21.25" hidden="0" customWidth="1"/>
    <x:col min="10" max="10" width="12.380000114440918" hidden="0" customWidth="1"/>
    <x:col min="11" max="11" width="12.5" hidden="0" customWidth="1"/>
    <x:col min="12" max="12" width="16.1299991607666" hidden="0" customWidth="1"/>
    <x:col min="13" max="13" width="9.130000114440918" hidden="0" customWidth="1"/>
    <x:col min="14" max="14" width="11.880000114440918" hidden="0" customWidth="1"/>
  </x:cols>
  <x:sheetData>
    <x:row r="1">
      <x:c r="A1" s="4" t="str">
        <x:v>Month</x:v>
      </x:c>
      <x:c r="B1" s="4" t="str">
        <x:v>Supplier ID</x:v>
      </x:c>
      <x:c r="C1" s="4" t="str">
        <x:v>Supplier</x:v>
      </x:c>
      <x:c r="D1" s="4" t="str">
        <x:v>Component</x:v>
      </x:c>
      <x:c r="E1" s="4" t="str">
        <x:v>Demand Units</x:v>
      </x:c>
      <x:c r="F1" s="4" t="str">
        <x:v>Ordered Units</x:v>
      </x:c>
      <x:c r="G1" s="4" t="str">
        <x:v>Received Units</x:v>
      </x:c>
      <x:c r="H1" s="4" t="str">
        <x:v>Promised Lead Time (Days)</x:v>
      </x:c>
      <x:c r="I1" s="4" t="str">
        <x:v>Actual Lead Time (Days)</x:v>
      </x:c>
      <x:c r="J1" s="4" t="str">
        <x:v>Defect Units</x:v>
      </x:c>
      <x:c r="K1" s="4" t="str">
        <x:v>Unit Cost ($)</x:v>
      </x:c>
      <x:c r="L1" s="4" t="str">
        <x:v>On-Time Delivery</x:v>
      </x:c>
      <x:c r="M1" s="4" t="str">
        <x:v>Fill Rate</x:v>
      </x:c>
      <x:c r="N1" s="4" t="str">
        <x:v>Defect Rate</x:v>
      </x:c>
    </x:row>
    <x:row r="2">
      <x:c r="A2" s="8" t="n">
        <x:v>45658</x:v>
      </x:c>
      <x:c r="B2" t="str">
        <x:v>S01</x:v>
      </x:c>
      <x:c r="C2" t="str">
        <x:v>VoltCell Components</x:v>
      </x:c>
      <x:c r="D2" t="str">
        <x:v>Battery Module</x:v>
      </x:c>
      <x:c r="E2" t="n">
        <x:v>814</x:v>
      </x:c>
      <x:c r="F2" t="n">
        <x:v>832</x:v>
      </x:c>
      <x:c r="G2" t="n">
        <x:v>772</x:v>
      </x:c>
      <x:c r="H2" t="n">
        <x:v>14</x:v>
      </x:c>
      <x:c r="I2" t="n">
        <x:v>16</x:v>
      </x:c>
      <x:c r="J2" t="n">
        <x:v>25</x:v>
      </x:c>
      <x:c r="K2" s="10" t="n">
        <x:v>120</x:v>
      </x:c>
      <x:c r="L2" t="n">
        <x:v>0</x:v>
      </x:c>
      <x:c r="M2" s="12" t="n">
        <x:v>0.9278846153846154</x:v>
      </x:c>
      <x:c r="N2" s="12" t="n">
        <x:v>0.03238341968911917</x:v>
      </x:c>
    </x:row>
    <x:row r="3">
      <x:c r="A3" s="8" t="n">
        <x:v>45658</x:v>
      </x:c>
      <x:c r="B3" t="str">
        <x:v>S02</x:v>
      </x:c>
      <x:c r="C3" t="str">
        <x:v>DriveCore Systems</x:v>
      </x:c>
      <x:c r="D3" t="str">
        <x:v>Motor Assembly</x:v>
      </x:c>
      <x:c r="E3" t="n">
        <x:v>1258</x:v>
      </x:c>
      <x:c r="F3" t="n">
        <x:v>1297</x:v>
      </x:c>
      <x:c r="G3" t="n">
        <x:v>1222</x:v>
      </x:c>
      <x:c r="H3" t="n">
        <x:v>18</x:v>
      </x:c>
      <x:c r="I3" t="n">
        <x:v>21</x:v>
      </x:c>
      <x:c r="J3" t="n">
        <x:v>62</x:v>
      </x:c>
      <x:c r="K3" s="10" t="n">
        <x:v>180</x:v>
      </x:c>
      <x:c r="L3" t="n">
        <x:v>0</x:v>
      </x:c>
      <x:c r="M3" s="12" t="n">
        <x:v>0.9421742482652274</x:v>
      </x:c>
      <x:c r="N3" s="12" t="n">
        <x:v>0.05073649754500818</x:v>
      </x:c>
    </x:row>
    <x:row r="4">
      <x:c r="A4" s="8" t="n">
        <x:v>45658</x:v>
      </x:c>
      <x:c r="B4" t="str">
        <x:v>S03</x:v>
      </x:c>
      <x:c r="C4" t="str">
        <x:v>PowerLogic Electronics</x:v>
      </x:c>
      <x:c r="D4" t="str">
        <x:v>Inverter</x:v>
      </x:c>
      <x:c r="E4" t="n">
        <x:v>1217</x:v>
      </x:c>
      <x:c r="F4" t="n">
        <x:v>1336</x:v>
      </x:c>
      <x:c r="G4" t="n">
        <x:v>1277</x:v>
      </x:c>
      <x:c r="H4" t="n">
        <x:v>12</x:v>
      </x:c>
      <x:c r="I4" t="n">
        <x:v>13</x:v>
      </x:c>
      <x:c r="J4" t="n">
        <x:v>23</x:v>
      </x:c>
      <x:c r="K4" s="10" t="n">
        <x:v>95</x:v>
      </x:c>
      <x:c r="L4" t="n">
        <x:v>0</x:v>
      </x:c>
      <x:c r="M4" s="12" t="n">
        <x:v>0.9558383233532934</x:v>
      </x:c>
      <x:c r="N4" s="12" t="n">
        <x:v>0.018010963194988253</x:v>
      </x:c>
    </x:row>
    <x:row r="5">
      <x:c r="A5" s="8" t="n">
        <x:v>45658</x:v>
      </x:c>
      <x:c r="B5" t="str">
        <x:v>S04</x:v>
      </x:c>
      <x:c r="C5" t="str">
        <x:v>ThermaFlow Industries</x:v>
      </x:c>
      <x:c r="D5" t="str">
        <x:v>Cooling Module</x:v>
      </x:c>
      <x:c r="E5" t="n">
        <x:v>1129</x:v>
      </x:c>
      <x:c r="F5" t="n">
        <x:v>1183</x:v>
      </x:c>
      <x:c r="G5" t="n">
        <x:v>1134</x:v>
      </x:c>
      <x:c r="H5" t="n">
        <x:v>16</x:v>
      </x:c>
      <x:c r="I5" t="n">
        <x:v>18</x:v>
      </x:c>
      <x:c r="J5" t="n">
        <x:v>67</x:v>
      </x:c>
      <x:c r="K5" s="10" t="n">
        <x:v>140</x:v>
      </x:c>
      <x:c r="L5" t="n">
        <x:v>0</x:v>
      </x:c>
      <x:c r="M5" s="12" t="n">
        <x:v>0.9585798816568047</x:v>
      </x:c>
      <x:c r="N5" s="12" t="n">
        <x:v>0.059082892416225746</x:v>
      </x:c>
    </x:row>
    <x:row r="6">
      <x:c r="A6" s="8" t="n">
        <x:v>45658</x:v>
      </x:c>
      <x:c r="B6" t="str">
        <x:v>S05</x:v>
      </x:c>
      <x:c r="C6" t="str">
        <x:v>AutoSense Technologies</x:v>
      </x:c>
      <x:c r="D6" t="str">
        <x:v>Sensor Kit</x:v>
      </x:c>
      <x:c r="E6" t="n">
        <x:v>863</x:v>
      </x:c>
      <x:c r="F6" t="n">
        <x:v>958</x:v>
      </x:c>
      <x:c r="G6" t="n">
        <x:v>895</x:v>
      </x:c>
      <x:c r="H6" t="n">
        <x:v>10</x:v>
      </x:c>
      <x:c r="I6" t="n">
        <x:v>15</x:v>
      </x:c>
      <x:c r="J6" t="n">
        <x:v>24</x:v>
      </x:c>
      <x:c r="K6" s="10" t="n">
        <x:v>70</x:v>
      </x:c>
      <x:c r="L6" t="n">
        <x:v>0</x:v>
      </x:c>
      <x:c r="M6" s="12" t="n">
        <x:v>0.9342379958246346</x:v>
      </x:c>
      <x:c r="N6" s="12" t="n">
        <x:v>0.026815642458100558</x:v>
      </x:c>
    </x:row>
    <x:row r="7">
      <x:c r="A7" s="8" t="n">
        <x:v>45689</x:v>
      </x:c>
      <x:c r="B7" t="str">
        <x:v>S01</x:v>
      </x:c>
      <x:c r="C7" t="str">
        <x:v>VoltCell Components</x:v>
      </x:c>
      <x:c r="D7" t="str">
        <x:v>Battery Module</x:v>
      </x:c>
      <x:c r="E7" t="n">
        <x:v>1044</x:v>
      </x:c>
      <x:c r="F7" t="n">
        <x:v>1078</x:v>
      </x:c>
      <x:c r="G7" t="n">
        <x:v>1011</x:v>
      </x:c>
      <x:c r="H7" t="n">
        <x:v>14</x:v>
      </x:c>
      <x:c r="I7" t="n">
        <x:v>14</x:v>
      </x:c>
      <x:c r="J7" t="n">
        <x:v>26</x:v>
      </x:c>
      <x:c r="K7" s="10" t="n">
        <x:v>120</x:v>
      </x:c>
      <x:c r="L7" t="n">
        <x:v>1</x:v>
      </x:c>
      <x:c r="M7" s="12" t="n">
        <x:v>0.937847866419295</x:v>
      </x:c>
      <x:c r="N7" s="12" t="n">
        <x:v>0.025717111770524232</x:v>
      </x:c>
    </x:row>
    <x:row r="8">
      <x:c r="A8" s="8" t="n">
        <x:v>45689</x:v>
      </x:c>
      <x:c r="B8" t="str">
        <x:v>S02</x:v>
      </x:c>
      <x:c r="C8" t="str">
        <x:v>DriveCore Systems</x:v>
      </x:c>
      <x:c r="D8" t="str">
        <x:v>Motor Assembly</x:v>
      </x:c>
      <x:c r="E8" t="n">
        <x:v>970</x:v>
      </x:c>
      <x:c r="F8" t="n">
        <x:v>1091</x:v>
      </x:c>
      <x:c r="G8" t="n">
        <x:v>1062</x:v>
      </x:c>
      <x:c r="H8" t="n">
        <x:v>18</x:v>
      </x:c>
      <x:c r="I8" t="n">
        <x:v>13</x:v>
      </x:c>
      <x:c r="J8" t="n">
        <x:v>48</x:v>
      </x:c>
      <x:c r="K8" s="10" t="n">
        <x:v>180</x:v>
      </x:c>
      <x:c r="L8" t="n">
        <x:v>1</x:v>
      </x:c>
      <x:c r="M8" s="12" t="n">
        <x:v>0.9734188817598534</x:v>
      </x:c>
      <x:c r="N8" s="12" t="n">
        <x:v>0.04519774011299435</x:v>
      </x:c>
    </x:row>
    <x:row r="9">
      <x:c r="A9" s="8" t="n">
        <x:v>45689</x:v>
      </x:c>
      <x:c r="B9" t="str">
        <x:v>S03</x:v>
      </x:c>
      <x:c r="C9" t="str">
        <x:v>PowerLogic Electronics</x:v>
      </x:c>
      <x:c r="D9" t="str">
        <x:v>Inverter</x:v>
      </x:c>
      <x:c r="E9" t="n">
        <x:v>1087</x:v>
      </x:c>
      <x:c r="F9" t="n">
        <x:v>1119</x:v>
      </x:c>
      <x:c r="G9" t="n">
        <x:v>1040</x:v>
      </x:c>
      <x:c r="H9" t="n">
        <x:v>12</x:v>
      </x:c>
      <x:c r="I9" t="n">
        <x:v>10</x:v>
      </x:c>
      <x:c r="J9" t="n">
        <x:v>19</x:v>
      </x:c>
      <x:c r="K9" s="10" t="n">
        <x:v>95</x:v>
      </x:c>
      <x:c r="L9" t="n">
        <x:v>1</x:v>
      </x:c>
      <x:c r="M9" s="12" t="n">
        <x:v>0.9294012511170688</x:v>
      </x:c>
      <x:c r="N9" s="12" t="n">
        <x:v>0.01826923076923077</x:v>
      </x:c>
    </x:row>
    <x:row r="10">
      <x:c r="A10" s="8" t="n">
        <x:v>45689</x:v>
      </x:c>
      <x:c r="B10" t="str">
        <x:v>S04</x:v>
      </x:c>
      <x:c r="C10" t="str">
        <x:v>ThermaFlow Industries</x:v>
      </x:c>
      <x:c r="D10" t="str">
        <x:v>Cooling Module</x:v>
      </x:c>
      <x:c r="E10" t="n">
        <x:v>1070</x:v>
      </x:c>
      <x:c r="F10" t="n">
        <x:v>1171</x:v>
      </x:c>
      <x:c r="G10" t="n">
        <x:v>1136</x:v>
      </x:c>
      <x:c r="H10" t="n">
        <x:v>16</x:v>
      </x:c>
      <x:c r="I10" t="n">
        <x:v>19</x:v>
      </x:c>
      <x:c r="J10" t="n">
        <x:v>70</x:v>
      </x:c>
      <x:c r="K10" s="10" t="n">
        <x:v>140</x:v>
      </x:c>
      <x:c r="L10" t="n">
        <x:v>0</x:v>
      </x:c>
      <x:c r="M10" s="12" t="n">
        <x:v>0.9701110162254484</x:v>
      </x:c>
      <x:c r="N10" s="12" t="n">
        <x:v>0.061619718309859156</x:v>
      </x:c>
    </x:row>
    <x:row r="11">
      <x:c r="A11" s="8" t="n">
        <x:v>45689</x:v>
      </x:c>
      <x:c r="B11" t="str">
        <x:v>S05</x:v>
      </x:c>
      <x:c r="C11" t="str">
        <x:v>AutoSense Technologies</x:v>
      </x:c>
      <x:c r="D11" t="str">
        <x:v>Sensor Kit</x:v>
      </x:c>
      <x:c r="E11" t="n">
        <x:v>996</x:v>
      </x:c>
      <x:c r="F11" t="n">
        <x:v>1143</x:v>
      </x:c>
      <x:c r="G11" t="n">
        <x:v>1126</x:v>
      </x:c>
      <x:c r="H11" t="n">
        <x:v>10</x:v>
      </x:c>
      <x:c r="I11" t="n">
        <x:v>13</x:v>
      </x:c>
      <x:c r="J11" t="n">
        <x:v>5</x:v>
      </x:c>
      <x:c r="K11" s="10" t="n">
        <x:v>70</x:v>
      </x:c>
      <x:c r="L11" t="n">
        <x:v>0</x:v>
      </x:c>
      <x:c r="M11" s="12" t="n">
        <x:v>0.9851268591426072</x:v>
      </x:c>
      <x:c r="N11" s="12" t="n">
        <x:v>0.004440497335701598</x:v>
      </x:c>
    </x:row>
    <x:row r="12">
      <x:c r="A12" s="8" t="n">
        <x:v>45717</x:v>
      </x:c>
      <x:c r="B12" t="str">
        <x:v>S01</x:v>
      </x:c>
      <x:c r="C12" t="str">
        <x:v>VoltCell Components</x:v>
      </x:c>
      <x:c r="D12" t="str">
        <x:v>Battery Module</x:v>
      </x:c>
      <x:c r="E12" t="n">
        <x:v>1164</x:v>
      </x:c>
      <x:c r="F12" t="n">
        <x:v>1283</x:v>
      </x:c>
      <x:c r="G12" t="n">
        <x:v>1202</x:v>
      </x:c>
      <x:c r="H12" t="n">
        <x:v>14</x:v>
      </x:c>
      <x:c r="I12" t="n">
        <x:v>14</x:v>
      </x:c>
      <x:c r="J12" t="n">
        <x:v>29</x:v>
      </x:c>
      <x:c r="K12" s="10" t="n">
        <x:v>120</x:v>
      </x:c>
      <x:c r="L12" t="n">
        <x:v>1</x:v>
      </x:c>
      <x:c r="M12" s="12" t="n">
        <x:v>0.9368667186282151</x:v>
      </x:c>
      <x:c r="N12" s="12" t="n">
        <x:v>0.024126455906821963</x:v>
      </x:c>
    </x:row>
    <x:row r="13">
      <x:c r="A13" s="8" t="n">
        <x:v>45717</x:v>
      </x:c>
      <x:c r="B13" t="str">
        <x:v>S02</x:v>
      </x:c>
      <x:c r="C13" t="str">
        <x:v>DriveCore Systems</x:v>
      </x:c>
      <x:c r="D13" t="str">
        <x:v>Motor Assembly</x:v>
      </x:c>
      <x:c r="E13" t="n">
        <x:v>973</x:v>
      </x:c>
      <x:c r="F13" t="n">
        <x:v>1081</x:v>
      </x:c>
      <x:c r="G13" t="n">
        <x:v>1047</x:v>
      </x:c>
      <x:c r="H13" t="n">
        <x:v>18</x:v>
      </x:c>
      <x:c r="I13" t="n">
        <x:v>23</x:v>
      </x:c>
      <x:c r="J13" t="n">
        <x:v>58</x:v>
      </x:c>
      <x:c r="K13" s="10" t="n">
        <x:v>180</x:v>
      </x:c>
      <x:c r="L13" t="n">
        <x:v>0</x:v>
      </x:c>
      <x:c r="M13" s="12" t="n">
        <x:v>0.9685476410730804</x:v>
      </x:c>
      <x:c r="N13" s="12" t="n">
        <x:v>0.055396370582617004</x:v>
      </x:c>
    </x:row>
    <x:row r="14">
      <x:c r="A14" s="8" t="n">
        <x:v>45717</x:v>
      </x:c>
      <x:c r="B14" t="str">
        <x:v>S03</x:v>
      </x:c>
      <x:c r="C14" t="str">
        <x:v>PowerLogic Electronics</x:v>
      </x:c>
      <x:c r="D14" t="str">
        <x:v>Inverter</x:v>
      </x:c>
      <x:c r="E14" t="n">
        <x:v>1246</x:v>
      </x:c>
      <x:c r="F14" t="n">
        <x:v>1389</x:v>
      </x:c>
      <x:c r="G14" t="n">
        <x:v>1273</x:v>
      </x:c>
      <x:c r="H14" t="n">
        <x:v>12</x:v>
      </x:c>
      <x:c r="I14" t="n">
        <x:v>8</x:v>
      </x:c>
      <x:c r="J14" t="n">
        <x:v>59</x:v>
      </x:c>
      <x:c r="K14" s="10" t="n">
        <x:v>95</x:v>
      </x:c>
      <x:c r="L14" t="n">
        <x:v>1</x:v>
      </x:c>
      <x:c r="M14" s="12" t="n">
        <x:v>0.9164866810655148</x:v>
      </x:c>
      <x:c r="N14" s="12" t="n">
        <x:v>0.046347211311861744</x:v>
      </x:c>
    </x:row>
    <x:row r="15">
      <x:c r="A15" s="8" t="n">
        <x:v>45717</x:v>
      </x:c>
      <x:c r="B15" t="str">
        <x:v>S04</x:v>
      </x:c>
      <x:c r="C15" t="str">
        <x:v>ThermaFlow Industries</x:v>
      </x:c>
      <x:c r="D15" t="str">
        <x:v>Cooling Module</x:v>
      </x:c>
      <x:c r="E15" t="n">
        <x:v>1270</x:v>
      </x:c>
      <x:c r="F15" t="n">
        <x:v>1331</x:v>
      </x:c>
      <x:c r="G15" t="n">
        <x:v>1241</x:v>
      </x:c>
      <x:c r="H15" t="n">
        <x:v>16</x:v>
      </x:c>
      <x:c r="I15" t="n">
        <x:v>18</x:v>
      </x:c>
      <x:c r="J15" t="n">
        <x:v>71</x:v>
      </x:c>
      <x:c r="K15" s="10" t="n">
        <x:v>140</x:v>
      </x:c>
      <x:c r="L15" t="n">
        <x:v>0</x:v>
      </x:c>
      <x:c r="M15" s="12" t="n">
        <x:v>0.932381667918858</x:v>
      </x:c>
      <x:c r="N15" s="12" t="n">
        <x:v>0.057211925866236905</x:v>
      </x:c>
    </x:row>
    <x:row r="16">
      <x:c r="A16" s="8" t="n">
        <x:v>45717</x:v>
      </x:c>
      <x:c r="B16" t="str">
        <x:v>S05</x:v>
      </x:c>
      <x:c r="C16" t="str">
        <x:v>AutoSense Technologies</x:v>
      </x:c>
      <x:c r="D16" t="str">
        <x:v>Sensor Kit</x:v>
      </x:c>
      <x:c r="E16" t="n">
        <x:v>732</x:v>
      </x:c>
      <x:c r="F16" t="n">
        <x:v>823</x:v>
      </x:c>
      <x:c r="G16" t="n">
        <x:v>774</x:v>
      </x:c>
      <x:c r="H16" t="n">
        <x:v>10</x:v>
      </x:c>
      <x:c r="I16" t="n">
        <x:v>17</x:v>
      </x:c>
      <x:c r="J16" t="n">
        <x:v>13</x:v>
      </x:c>
      <x:c r="K16" s="10" t="n">
        <x:v>70</x:v>
      </x:c>
      <x:c r="L16" t="n">
        <x:v>0</x:v>
      </x:c>
      <x:c r="M16" s="12" t="n">
        <x:v>0.9404617253948967</x:v>
      </x:c>
      <x:c r="N16" s="12" t="n">
        <x:v>0.016795865633074936</x:v>
      </x:c>
    </x:row>
    <x:row r="17">
      <x:c r="A17" s="8" t="n">
        <x:v>45748</x:v>
      </x:c>
      <x:c r="B17" t="str">
        <x:v>S01</x:v>
      </x:c>
      <x:c r="C17" t="str">
        <x:v>VoltCell Components</x:v>
      </x:c>
      <x:c r="D17" t="str">
        <x:v>Battery Module</x:v>
      </x:c>
      <x:c r="E17" t="n">
        <x:v>1280</x:v>
      </x:c>
      <x:c r="F17" t="n">
        <x:v>1451</x:v>
      </x:c>
      <x:c r="G17" t="n">
        <x:v>1352</x:v>
      </x:c>
      <x:c r="H17" t="n">
        <x:v>14</x:v>
      </x:c>
      <x:c r="I17" t="n">
        <x:v>14</x:v>
      </x:c>
      <x:c r="J17" t="n">
        <x:v>18</x:v>
      </x:c>
      <x:c r="K17" s="10" t="n">
        <x:v>120</x:v>
      </x:c>
      <x:c r="L17" t="n">
        <x:v>1</x:v>
      </x:c>
      <x:c r="M17" s="12" t="n">
        <x:v>0.9317711922811854</x:v>
      </x:c>
      <x:c r="N17" s="12" t="n">
        <x:v>0.013313609467455622</x:v>
      </x:c>
    </x:row>
    <x:row r="18">
      <x:c r="A18" s="8" t="n">
        <x:v>45748</x:v>
      </x:c>
      <x:c r="B18" t="str">
        <x:v>S02</x:v>
      </x:c>
      <x:c r="C18" t="str">
        <x:v>DriveCore Systems</x:v>
      </x:c>
      <x:c r="D18" t="str">
        <x:v>Motor Assembly</x:v>
      </x:c>
      <x:c r="E18" t="n">
        <x:v>1169</x:v>
      </x:c>
      <x:c r="F18" t="n">
        <x:v>1214</x:v>
      </x:c>
      <x:c r="G18" t="n">
        <x:v>1110</x:v>
      </x:c>
      <x:c r="H18" t="n">
        <x:v>18</x:v>
      </x:c>
      <x:c r="I18" t="n">
        <x:v>19</x:v>
      </x:c>
      <x:c r="J18" t="n">
        <x:v>44</x:v>
      </x:c>
      <x:c r="K18" s="10" t="n">
        <x:v>180</x:v>
      </x:c>
      <x:c r="L18" t="n">
        <x:v>0</x:v>
      </x:c>
      <x:c r="M18" s="12" t="n">
        <x:v>0.914332784184514</x:v>
      </x:c>
      <x:c r="N18" s="12" t="n">
        <x:v>0.03963963963963964</x:v>
      </x:c>
    </x:row>
    <x:row r="19">
      <x:c r="A19" s="8" t="n">
        <x:v>45748</x:v>
      </x:c>
      <x:c r="B19" t="str">
        <x:v>S03</x:v>
      </x:c>
      <x:c r="C19" t="str">
        <x:v>PowerLogic Electronics</x:v>
      </x:c>
      <x:c r="D19" t="str">
        <x:v>Inverter</x:v>
      </x:c>
      <x:c r="E19" t="n">
        <x:v>1298</x:v>
      </x:c>
      <x:c r="F19" t="n">
        <x:v>1396</x:v>
      </x:c>
      <x:c r="G19" t="n">
        <x:v>1338</x:v>
      </x:c>
      <x:c r="H19" t="n">
        <x:v>12</x:v>
      </x:c>
      <x:c r="I19" t="n">
        <x:v>8</x:v>
      </x:c>
      <x:c r="J19" t="n">
        <x:v>68</x:v>
      </x:c>
      <x:c r="K19" s="10" t="n">
        <x:v>95</x:v>
      </x:c>
      <x:c r="L19" t="n">
        <x:v>1</x:v>
      </x:c>
      <x:c r="M19" s="12" t="n">
        <x:v>0.9584527220630372</x:v>
      </x:c>
      <x:c r="N19" s="12" t="n">
        <x:v>0.05082212257100149</x:v>
      </x:c>
    </x:row>
    <x:row r="20">
      <x:c r="A20" s="8" t="n">
        <x:v>45748</x:v>
      </x:c>
      <x:c r="B20" t="str">
        <x:v>S04</x:v>
      </x:c>
      <x:c r="C20" t="str">
        <x:v>ThermaFlow Industries</x:v>
      </x:c>
      <x:c r="D20" t="str">
        <x:v>Cooling Module</x:v>
      </x:c>
      <x:c r="E20" t="n">
        <x:v>841</x:v>
      </x:c>
      <x:c r="F20" t="n">
        <x:v>913</x:v>
      </x:c>
      <x:c r="G20" t="n">
        <x:v>830</x:v>
      </x:c>
      <x:c r="H20" t="n">
        <x:v>16</x:v>
      </x:c>
      <x:c r="I20" t="n">
        <x:v>19</x:v>
      </x:c>
      <x:c r="J20" t="n">
        <x:v>51</x:v>
      </x:c>
      <x:c r="K20" s="10" t="n">
        <x:v>140</x:v>
      </x:c>
      <x:c r="L20" t="n">
        <x:v>0</x:v>
      </x:c>
      <x:c r="M20" s="12" t="n">
        <x:v>0.9090909090909091</x:v>
      </x:c>
      <x:c r="N20" s="12" t="n">
        <x:v>0.06144578313253012</x:v>
      </x:c>
    </x:row>
    <x:row r="21">
      <x:c r="A21" s="8" t="n">
        <x:v>45748</x:v>
      </x:c>
      <x:c r="B21" t="str">
        <x:v>S05</x:v>
      </x:c>
      <x:c r="C21" t="str">
        <x:v>AutoSense Technologies</x:v>
      </x:c>
      <x:c r="D21" t="str">
        <x:v>Sensor Kit</x:v>
      </x:c>
      <x:c r="E21" t="n">
        <x:v>863</x:v>
      </x:c>
      <x:c r="F21" t="n">
        <x:v>969</x:v>
      </x:c>
      <x:c r="G21" t="n">
        <x:v>913</x:v>
      </x:c>
      <x:c r="H21" t="n">
        <x:v>10</x:v>
      </x:c>
      <x:c r="I21" t="n">
        <x:v>14</x:v>
      </x:c>
      <x:c r="J21" t="n">
        <x:v>12</x:v>
      </x:c>
      <x:c r="K21" s="10" t="n">
        <x:v>70</x:v>
      </x:c>
      <x:c r="L21" t="n">
        <x:v>0</x:v>
      </x:c>
      <x:c r="M21" s="12" t="n">
        <x:v>0.9422084623323014</x:v>
      </x:c>
      <x:c r="N21" s="12" t="n">
        <x:v>0.013143483023001095</x:v>
      </x:c>
    </x:row>
    <x:row r="22">
      <x:c r="A22" s="8" t="n">
        <x:v>45778</x:v>
      </x:c>
      <x:c r="B22" t="str">
        <x:v>S01</x:v>
      </x:c>
      <x:c r="C22" t="str">
        <x:v>VoltCell Components</x:v>
      </x:c>
      <x:c r="D22" t="str">
        <x:v>Battery Module</x:v>
      </x:c>
      <x:c r="E22" t="n">
        <x:v>1179</x:v>
      </x:c>
      <x:c r="F22" t="n">
        <x:v>1283</x:v>
      </x:c>
      <x:c r="G22" t="n">
        <x:v>1279</x:v>
      </x:c>
      <x:c r="H22" t="n">
        <x:v>14</x:v>
      </x:c>
      <x:c r="I22" t="n">
        <x:v>16</x:v>
      </x:c>
      <x:c r="J22" t="n">
        <x:v>24</x:v>
      </x:c>
      <x:c r="K22" s="10" t="n">
        <x:v>120</x:v>
      </x:c>
      <x:c r="L22" t="n">
        <x:v>0</x:v>
      </x:c>
      <x:c r="M22" s="12" t="n">
        <x:v>0.9968823070927514</x:v>
      </x:c>
      <x:c r="N22" s="12" t="n">
        <x:v>0.018764659890539485</x:v>
      </x:c>
    </x:row>
    <x:row r="23">
      <x:c r="A23" s="8" t="n">
        <x:v>45778</x:v>
      </x:c>
      <x:c r="B23" t="str">
        <x:v>S02</x:v>
      </x:c>
      <x:c r="C23" t="str">
        <x:v>DriveCore Systems</x:v>
      </x:c>
      <x:c r="D23" t="str">
        <x:v>Motor Assembly</x:v>
      </x:c>
      <x:c r="E23" t="n">
        <x:v>817</x:v>
      </x:c>
      <x:c r="F23" t="n">
        <x:v>905</x:v>
      </x:c>
      <x:c r="G23" t="n">
        <x:v>863</x:v>
      </x:c>
      <x:c r="H23" t="n">
        <x:v>18</x:v>
      </x:c>
      <x:c r="I23" t="n">
        <x:v>19</x:v>
      </x:c>
      <x:c r="J23" t="n">
        <x:v>53</x:v>
      </x:c>
      <x:c r="K23" s="10" t="n">
        <x:v>180</x:v>
      </x:c>
      <x:c r="L23" t="n">
        <x:v>0</x:v>
      </x:c>
      <x:c r="M23" s="12" t="n">
        <x:v>0.9535911602209944</x:v>
      </x:c>
      <x:c r="N23" s="12" t="n">
        <x:v>0.06141367323290846</x:v>
      </x:c>
    </x:row>
    <x:row r="24">
      <x:c r="A24" s="8" t="n">
        <x:v>45778</x:v>
      </x:c>
      <x:c r="B24" t="str">
        <x:v>S03</x:v>
      </x:c>
      <x:c r="C24" t="str">
        <x:v>PowerLogic Electronics</x:v>
      </x:c>
      <x:c r="D24" t="str">
        <x:v>Inverter</x:v>
      </x:c>
      <x:c r="E24" t="n">
        <x:v>814</x:v>
      </x:c>
      <x:c r="F24" t="n">
        <x:v>861</x:v>
      </x:c>
      <x:c r="G24" t="n">
        <x:v>789</x:v>
      </x:c>
      <x:c r="H24" t="n">
        <x:v>12</x:v>
      </x:c>
      <x:c r="I24" t="n">
        <x:v>17</x:v>
      </x:c>
      <x:c r="J24" t="n">
        <x:v>24</x:v>
      </x:c>
      <x:c r="K24" s="10" t="n">
        <x:v>95</x:v>
      </x:c>
      <x:c r="L24" t="n">
        <x:v>0</x:v>
      </x:c>
      <x:c r="M24" s="12" t="n">
        <x:v>0.9163763066202091</x:v>
      </x:c>
      <x:c r="N24" s="12" t="n">
        <x:v>0.030418250950570342</x:v>
      </x:c>
    </x:row>
    <x:row r="25">
      <x:c r="A25" s="8" t="n">
        <x:v>45778</x:v>
      </x:c>
      <x:c r="B25" t="str">
        <x:v>S04</x:v>
      </x:c>
      <x:c r="C25" t="str">
        <x:v>ThermaFlow Industries</x:v>
      </x:c>
      <x:c r="D25" t="str">
        <x:v>Cooling Module</x:v>
      </x:c>
      <x:c r="E25" t="n">
        <x:v>969</x:v>
      </x:c>
      <x:c r="F25" t="n">
        <x:v>1110</x:v>
      </x:c>
      <x:c r="G25" t="n">
        <x:v>1084</x:v>
      </x:c>
      <x:c r="H25" t="n">
        <x:v>16</x:v>
      </x:c>
      <x:c r="I25" t="n">
        <x:v>16</x:v>
      </x:c>
      <x:c r="J25" t="n">
        <x:v>65</x:v>
      </x:c>
      <x:c r="K25" s="10" t="n">
        <x:v>140</x:v>
      </x:c>
      <x:c r="L25" t="n">
        <x:v>1</x:v>
      </x:c>
      <x:c r="M25" s="12" t="n">
        <x:v>0.9765765765765766</x:v>
      </x:c>
      <x:c r="N25" s="12" t="n">
        <x:v>0.05996309963099631</x:v>
      </x:c>
    </x:row>
    <x:row r="26">
      <x:c r="A26" s="8" t="n">
        <x:v>45778</x:v>
      </x:c>
      <x:c r="B26" t="str">
        <x:v>S05</x:v>
      </x:c>
      <x:c r="C26" t="str">
        <x:v>AutoSense Technologies</x:v>
      </x:c>
      <x:c r="D26" t="str">
        <x:v>Sensor Kit</x:v>
      </x:c>
      <x:c r="E26" t="n">
        <x:v>1005</x:v>
      </x:c>
      <x:c r="F26" t="n">
        <x:v>1135</x:v>
      </x:c>
      <x:c r="G26" t="n">
        <x:v>1079</x:v>
      </x:c>
      <x:c r="H26" t="n">
        <x:v>10</x:v>
      </x:c>
      <x:c r="I26" t="n">
        <x:v>12</x:v>
      </x:c>
      <x:c r="J26" t="n">
        <x:v>19</x:v>
      </x:c>
      <x:c r="K26" s="10" t="n">
        <x:v>70</x:v>
      </x:c>
      <x:c r="L26" t="n">
        <x:v>0</x:v>
      </x:c>
      <x:c r="M26" s="12" t="n">
        <x:v>0.9506607929515418</x:v>
      </x:c>
      <x:c r="N26" s="12" t="n">
        <x:v>0.017608897126969416</x:v>
      </x:c>
    </x:row>
    <x:row r="27">
      <x:c r="A27" s="8" t="n">
        <x:v>45809</x:v>
      </x:c>
      <x:c r="B27" t="str">
        <x:v>S01</x:v>
      </x:c>
      <x:c r="C27" t="str">
        <x:v>VoltCell Components</x:v>
      </x:c>
      <x:c r="D27" t="str">
        <x:v>Battery Module</x:v>
      </x:c>
      <x:c r="E27" t="n">
        <x:v>865</x:v>
      </x:c>
      <x:c r="F27" t="n">
        <x:v>942</x:v>
      </x:c>
      <x:c r="G27" t="n">
        <x:v>921</x:v>
      </x:c>
      <x:c r="H27" t="n">
        <x:v>14</x:v>
      </x:c>
      <x:c r="I27" t="n">
        <x:v>15</x:v>
      </x:c>
      <x:c r="J27" t="n">
        <x:v>18</x:v>
      </x:c>
      <x:c r="K27" s="10" t="n">
        <x:v>120</x:v>
      </x:c>
      <x:c r="L27" t="n">
        <x:v>0</x:v>
      </x:c>
      <x:c r="M27" s="12" t="n">
        <x:v>0.9777070063694268</x:v>
      </x:c>
      <x:c r="N27" s="12" t="n">
        <x:v>0.019543973941368076</x:v>
      </x:c>
    </x:row>
    <x:row r="28">
      <x:c r="A28" s="8" t="n">
        <x:v>45809</x:v>
      </x:c>
      <x:c r="B28" t="str">
        <x:v>S02</x:v>
      </x:c>
      <x:c r="C28" t="str">
        <x:v>DriveCore Systems</x:v>
      </x:c>
      <x:c r="D28" t="str">
        <x:v>Motor Assembly</x:v>
      </x:c>
      <x:c r="E28" t="n">
        <x:v>1031</x:v>
      </x:c>
      <x:c r="F28" t="n">
        <x:v>1117</x:v>
      </x:c>
      <x:c r="G28" t="n">
        <x:v>1018</x:v>
      </x:c>
      <x:c r="H28" t="n">
        <x:v>18</x:v>
      </x:c>
      <x:c r="I28" t="n">
        <x:v>15</x:v>
      </x:c>
      <x:c r="J28" t="n">
        <x:v>69</x:v>
      </x:c>
      <x:c r="K28" s="10" t="n">
        <x:v>180</x:v>
      </x:c>
      <x:c r="L28" t="n">
        <x:v>1</x:v>
      </x:c>
      <x:c r="M28" s="12" t="n">
        <x:v>0.9113697403760072</x:v>
      </x:c>
      <x:c r="N28" s="12" t="n">
        <x:v>0.06777996070726916</x:v>
      </x:c>
    </x:row>
    <x:row r="29">
      <x:c r="A29" s="8" t="n">
        <x:v>45809</x:v>
      </x:c>
      <x:c r="B29" t="str">
        <x:v>S03</x:v>
      </x:c>
      <x:c r="C29" t="str">
        <x:v>PowerLogic Electronics</x:v>
      </x:c>
      <x:c r="D29" t="str">
        <x:v>Inverter</x:v>
      </x:c>
      <x:c r="E29" t="n">
        <x:v>1014</x:v>
      </x:c>
      <x:c r="F29" t="n">
        <x:v>1065</x:v>
      </x:c>
      <x:c r="G29" t="n">
        <x:v>984</x:v>
      </x:c>
      <x:c r="H29" t="n">
        <x:v>12</x:v>
      </x:c>
      <x:c r="I29" t="n">
        <x:v>13</x:v>
      </x:c>
      <x:c r="J29" t="n">
        <x:v>28</x:v>
      </x:c>
      <x:c r="K29" s="10" t="n">
        <x:v>95</x:v>
      </x:c>
      <x:c r="L29" t="n">
        <x:v>0</x:v>
      </x:c>
      <x:c r="M29" s="12" t="n">
        <x:v>0.923943661971831</x:v>
      </x:c>
      <x:c r="N29" s="12" t="n">
        <x:v>0.028455284552845527</x:v>
      </x:c>
    </x:row>
    <x:row r="30">
      <x:c r="A30" s="8" t="n">
        <x:v>45809</x:v>
      </x:c>
      <x:c r="B30" t="str">
        <x:v>S04</x:v>
      </x:c>
      <x:c r="C30" t="str">
        <x:v>ThermaFlow Industries</x:v>
      </x:c>
      <x:c r="D30" t="str">
        <x:v>Cooling Module</x:v>
      </x:c>
      <x:c r="E30" t="n">
        <x:v>1197</x:v>
      </x:c>
      <x:c r="F30" t="n">
        <x:v>1347</x:v>
      </x:c>
      <x:c r="G30" t="n">
        <x:v>1344</x:v>
      </x:c>
      <x:c r="H30" t="n">
        <x:v>16</x:v>
      </x:c>
      <x:c r="I30" t="n">
        <x:v>16</x:v>
      </x:c>
      <x:c r="J30" t="n">
        <x:v>80</x:v>
      </x:c>
      <x:c r="K30" s="10" t="n">
        <x:v>140</x:v>
      </x:c>
      <x:c r="L30" t="n">
        <x:v>1</x:v>
      </x:c>
      <x:c r="M30" s="12" t="n">
        <x:v>0.9977728285077951</x:v>
      </x:c>
      <x:c r="N30" s="12" t="n">
        <x:v>0.05952380952380952</x:v>
      </x:c>
    </x:row>
    <x:row r="31">
      <x:c r="A31" s="8" t="n">
        <x:v>45809</x:v>
      </x:c>
      <x:c r="B31" t="str">
        <x:v>S05</x:v>
      </x:c>
      <x:c r="C31" t="str">
        <x:v>AutoSense Technologies</x:v>
      </x:c>
      <x:c r="D31" t="str">
        <x:v>Sensor Kit</x:v>
      </x:c>
      <x:c r="E31" t="n">
        <x:v>1186</x:v>
      </x:c>
      <x:c r="F31" t="n">
        <x:v>1355</x:v>
      </x:c>
      <x:c r="G31" t="n">
        <x:v>1242</x:v>
      </x:c>
      <x:c r="H31" t="n">
        <x:v>10</x:v>
      </x:c>
      <x:c r="I31" t="n">
        <x:v>8</x:v>
      </x:c>
      <x:c r="J31" t="n">
        <x:v>10</x:v>
      </x:c>
      <x:c r="K31" s="10" t="n">
        <x:v>70</x:v>
      </x:c>
      <x:c r="L31" t="n">
        <x:v>1</x:v>
      </x:c>
      <x:c r="M31" s="12" t="n">
        <x:v>0.9166051660516605</x:v>
      </x:c>
      <x:c r="N31" s="12" t="n">
        <x:v>0.008051529790660225</x:v>
      </x:c>
    </x:row>
    <x:row r="32">
      <x:c r="A32" s="8" t="n">
        <x:v>45839</x:v>
      </x:c>
      <x:c r="B32" t="str">
        <x:v>S01</x:v>
      </x:c>
      <x:c r="C32" t="str">
        <x:v>VoltCell Components</x:v>
      </x:c>
      <x:c r="D32" t="str">
        <x:v>Battery Module</x:v>
      </x:c>
      <x:c r="E32" t="n">
        <x:v>916</x:v>
      </x:c>
      <x:c r="F32" t="n">
        <x:v>1044</x:v>
      </x:c>
      <x:c r="G32" t="n">
        <x:v>1018</x:v>
      </x:c>
      <x:c r="H32" t="n">
        <x:v>14</x:v>
      </x:c>
      <x:c r="I32" t="n">
        <x:v>14</x:v>
      </x:c>
      <x:c r="J32" t="n">
        <x:v>8</x:v>
      </x:c>
      <x:c r="K32" s="10" t="n">
        <x:v>120</x:v>
      </x:c>
      <x:c r="L32" t="n">
        <x:v>1</x:v>
      </x:c>
      <x:c r="M32" s="12" t="n">
        <x:v>0.975095785440613</x:v>
      </x:c>
      <x:c r="N32" s="12" t="n">
        <x:v>0.007858546168958742</x:v>
      </x:c>
    </x:row>
    <x:row r="33">
      <x:c r="A33" s="8" t="n">
        <x:v>45839</x:v>
      </x:c>
      <x:c r="B33" t="str">
        <x:v>S02</x:v>
      </x:c>
      <x:c r="C33" t="str">
        <x:v>DriveCore Systems</x:v>
      </x:c>
      <x:c r="D33" t="str">
        <x:v>Motor Assembly</x:v>
      </x:c>
      <x:c r="E33" t="n">
        <x:v>1108</x:v>
      </x:c>
      <x:c r="F33" t="n">
        <x:v>1273</x:v>
      </x:c>
      <x:c r="G33" t="n">
        <x:v>1228</x:v>
      </x:c>
      <x:c r="H33" t="n">
        <x:v>18</x:v>
      </x:c>
      <x:c r="I33" t="n">
        <x:v>17</x:v>
      </x:c>
      <x:c r="J33" t="n">
        <x:v>66</x:v>
      </x:c>
      <x:c r="K33" s="10" t="n">
        <x:v>180</x:v>
      </x:c>
      <x:c r="L33" t="n">
        <x:v>1</x:v>
      </x:c>
      <x:c r="M33" s="12" t="n">
        <x:v>0.9646504320502749</x:v>
      </x:c>
      <x:c r="N33" s="12" t="n">
        <x:v>0.05374592833876222</x:v>
      </x:c>
    </x:row>
    <x:row r="34">
      <x:c r="A34" s="8" t="n">
        <x:v>45839</x:v>
      </x:c>
      <x:c r="B34" t="str">
        <x:v>S03</x:v>
      </x:c>
      <x:c r="C34" t="str">
        <x:v>PowerLogic Electronics</x:v>
      </x:c>
      <x:c r="D34" t="str">
        <x:v>Inverter</x:v>
      </x:c>
      <x:c r="E34" t="n">
        <x:v>823</x:v>
      </x:c>
      <x:c r="F34" t="n">
        <x:v>865</x:v>
      </x:c>
      <x:c r="G34" t="n">
        <x:v>784</x:v>
      </x:c>
      <x:c r="H34" t="n">
        <x:v>12</x:v>
      </x:c>
      <x:c r="I34" t="n">
        <x:v>17</x:v>
      </x:c>
      <x:c r="J34" t="n">
        <x:v>25</x:v>
      </x:c>
      <x:c r="K34" s="10" t="n">
        <x:v>95</x:v>
      </x:c>
      <x:c r="L34" t="n">
        <x:v>0</x:v>
      </x:c>
      <x:c r="M34" s="12" t="n">
        <x:v>0.9063583815028902</x:v>
      </x:c>
      <x:c r="N34" s="12" t="n">
        <x:v>0.03188775510204082</x:v>
      </x:c>
    </x:row>
    <x:row r="35">
      <x:c r="A35" s="8" t="n">
        <x:v>45839</x:v>
      </x:c>
      <x:c r="B35" t="str">
        <x:v>S04</x:v>
      </x:c>
      <x:c r="C35" t="str">
        <x:v>ThermaFlow Industries</x:v>
      </x:c>
      <x:c r="D35" t="str">
        <x:v>Cooling Module</x:v>
      </x:c>
      <x:c r="E35" t="n">
        <x:v>925</x:v>
      </x:c>
      <x:c r="F35" t="n">
        <x:v>944</x:v>
      </x:c>
      <x:c r="G35" t="n">
        <x:v>916</x:v>
      </x:c>
      <x:c r="H35" t="n">
        <x:v>16</x:v>
      </x:c>
      <x:c r="I35" t="n">
        <x:v>18</x:v>
      </x:c>
      <x:c r="J35" t="n">
        <x:v>56</x:v>
      </x:c>
      <x:c r="K35" s="10" t="n">
        <x:v>140</x:v>
      </x:c>
      <x:c r="L35" t="n">
        <x:v>0</x:v>
      </x:c>
      <x:c r="M35" s="12" t="n">
        <x:v>0.9703389830508474</x:v>
      </x:c>
      <x:c r="N35" s="12" t="n">
        <x:v>0.0611353711790393</x:v>
      </x:c>
    </x:row>
    <x:row r="36">
      <x:c r="A36" s="8" t="n">
        <x:v>45839</x:v>
      </x:c>
      <x:c r="B36" t="str">
        <x:v>S05</x:v>
      </x:c>
      <x:c r="C36" t="str">
        <x:v>AutoSense Technologies</x:v>
      </x:c>
      <x:c r="D36" t="str">
        <x:v>Sensor Kit</x:v>
      </x:c>
      <x:c r="E36" t="n">
        <x:v>732</x:v>
      </x:c>
      <x:c r="F36" t="n">
        <x:v>828</x:v>
      </x:c>
      <x:c r="G36" t="n">
        <x:v>751</x:v>
      </x:c>
      <x:c r="H36" t="n">
        <x:v>10</x:v>
      </x:c>
      <x:c r="I36" t="n">
        <x:v>12</x:v>
      </x:c>
      <x:c r="J36" t="n">
        <x:v>16</x:v>
      </x:c>
      <x:c r="K36" s="10" t="n">
        <x:v>70</x:v>
      </x:c>
      <x:c r="L36" t="n">
        <x:v>0</x:v>
      </x:c>
      <x:c r="M36" s="12" t="n">
        <x:v>0.9070048309178744</x:v>
      </x:c>
      <x:c r="N36" s="12" t="n">
        <x:v>0.02130492676431425</x:v>
      </x:c>
    </x:row>
    <x:row r="37">
      <x:c r="A37" s="8" t="n">
        <x:v>45870</x:v>
      </x:c>
      <x:c r="B37" t="str">
        <x:v>S01</x:v>
      </x:c>
      <x:c r="C37" t="str">
        <x:v>VoltCell Components</x:v>
      </x:c>
      <x:c r="D37" t="str">
        <x:v>Battery Module</x:v>
      </x:c>
      <x:c r="E37" t="n">
        <x:v>919</x:v>
      </x:c>
      <x:c r="F37" t="n">
        <x:v>1001</x:v>
      </x:c>
      <x:c r="G37" t="n">
        <x:v>973</x:v>
      </x:c>
      <x:c r="H37" t="n">
        <x:v>14</x:v>
      </x:c>
      <x:c r="I37" t="n">
        <x:v>18</x:v>
      </x:c>
      <x:c r="J37" t="n">
        <x:v>13</x:v>
      </x:c>
      <x:c r="K37" s="10" t="n">
        <x:v>120</x:v>
      </x:c>
      <x:c r="L37" t="n">
        <x:v>0</x:v>
      </x:c>
      <x:c r="M37" s="12" t="n">
        <x:v>0.972027972027972</x:v>
      </x:c>
      <x:c r="N37" s="12" t="n">
        <x:v>0.013360739979445015</x:v>
      </x:c>
    </x:row>
    <x:row r="38">
      <x:c r="A38" s="8" t="n">
        <x:v>45870</x:v>
      </x:c>
      <x:c r="B38" t="str">
        <x:v>S02</x:v>
      </x:c>
      <x:c r="C38" t="str">
        <x:v>DriveCore Systems</x:v>
      </x:c>
      <x:c r="D38" t="str">
        <x:v>Motor Assembly</x:v>
      </x:c>
      <x:c r="E38" t="n">
        <x:v>948</x:v>
      </x:c>
      <x:c r="F38" t="n">
        <x:v>1063</x:v>
      </x:c>
      <x:c r="G38" t="n">
        <x:v>1043</x:v>
      </x:c>
      <x:c r="H38" t="n">
        <x:v>18</x:v>
      </x:c>
      <x:c r="I38" t="n">
        <x:v>20</x:v>
      </x:c>
      <x:c r="J38" t="n">
        <x:v>56</x:v>
      </x:c>
      <x:c r="K38" s="10" t="n">
        <x:v>180</x:v>
      </x:c>
      <x:c r="L38" t="n">
        <x:v>0</x:v>
      </x:c>
      <x:c r="M38" s="12" t="n">
        <x:v>0.9811853245531514</x:v>
      </x:c>
      <x:c r="N38" s="12" t="n">
        <x:v>0.053691275167785234</x:v>
      </x:c>
    </x:row>
    <x:row r="39">
      <x:c r="A39" s="8" t="n">
        <x:v>45870</x:v>
      </x:c>
      <x:c r="B39" t="str">
        <x:v>S03</x:v>
      </x:c>
      <x:c r="C39" t="str">
        <x:v>PowerLogic Electronics</x:v>
      </x:c>
      <x:c r="D39" t="str">
        <x:v>Inverter</x:v>
      </x:c>
      <x:c r="E39" t="n">
        <x:v>1141</x:v>
      </x:c>
      <x:c r="F39" t="n">
        <x:v>1216</x:v>
      </x:c>
      <x:c r="G39" t="n">
        <x:v>1144</x:v>
      </x:c>
      <x:c r="H39" t="n">
        <x:v>12</x:v>
      </x:c>
      <x:c r="I39" t="n">
        <x:v>14</x:v>
      </x:c>
      <x:c r="J39" t="n">
        <x:v>32</x:v>
      </x:c>
      <x:c r="K39" s="10" t="n">
        <x:v>95</x:v>
      </x:c>
      <x:c r="L39" t="n">
        <x:v>0</x:v>
      </x:c>
      <x:c r="M39" s="12" t="n">
        <x:v>0.9407894736842105</x:v>
      </x:c>
      <x:c r="N39" s="12" t="n">
        <x:v>0.027972027972027972</x:v>
      </x:c>
    </x:row>
    <x:row r="40">
      <x:c r="A40" s="8" t="n">
        <x:v>45870</x:v>
      </x:c>
      <x:c r="B40" t="str">
        <x:v>S04</x:v>
      </x:c>
      <x:c r="C40" t="str">
        <x:v>ThermaFlow Industries</x:v>
      </x:c>
      <x:c r="D40" t="str">
        <x:v>Cooling Module</x:v>
      </x:c>
      <x:c r="E40" t="n">
        <x:v>800</x:v>
      </x:c>
      <x:c r="F40" t="n">
        <x:v>822</x:v>
      </x:c>
      <x:c r="G40" t="n">
        <x:v>800</x:v>
      </x:c>
      <x:c r="H40" t="n">
        <x:v>16</x:v>
      </x:c>
      <x:c r="I40" t="n">
        <x:v>18</x:v>
      </x:c>
      <x:c r="J40" t="n">
        <x:v>45</x:v>
      </x:c>
      <x:c r="K40" s="10" t="n">
        <x:v>140</x:v>
      </x:c>
      <x:c r="L40" t="n">
        <x:v>0</x:v>
      </x:c>
      <x:c r="M40" s="12" t="n">
        <x:v>0.9732360097323601</x:v>
      </x:c>
      <x:c r="N40" s="12" t="n">
        <x:v>0.05625</x:v>
      </x:c>
    </x:row>
    <x:row r="41">
      <x:c r="A41" s="8" t="n">
        <x:v>45870</x:v>
      </x:c>
      <x:c r="B41" t="str">
        <x:v>S05</x:v>
      </x:c>
      <x:c r="C41" t="str">
        <x:v>AutoSense Technologies</x:v>
      </x:c>
      <x:c r="D41" t="str">
        <x:v>Sensor Kit</x:v>
      </x:c>
      <x:c r="E41" t="n">
        <x:v>896</x:v>
      </x:c>
      <x:c r="F41" t="n">
        <x:v>936</x:v>
      </x:c>
      <x:c r="G41" t="n">
        <x:v>884</x:v>
      </x:c>
      <x:c r="H41" t="n">
        <x:v>10</x:v>
      </x:c>
      <x:c r="I41" t="n">
        <x:v>10</x:v>
      </x:c>
      <x:c r="J41" t="n">
        <x:v>12</x:v>
      </x:c>
      <x:c r="K41" s="10" t="n">
        <x:v>70</x:v>
      </x:c>
      <x:c r="L41" t="n">
        <x:v>1</x:v>
      </x:c>
      <x:c r="M41" s="12" t="n">
        <x:v>0.9444444444444444</x:v>
      </x:c>
      <x:c r="N41" s="12" t="n">
        <x:v>0.013574660633484163</x:v>
      </x:c>
    </x:row>
    <x:row r="42">
      <x:c r="A42" s="8" t="n">
        <x:v>45901</x:v>
      </x:c>
      <x:c r="B42" t="str">
        <x:v>S01</x:v>
      </x:c>
      <x:c r="C42" t="str">
        <x:v>VoltCell Components</x:v>
      </x:c>
      <x:c r="D42" t="str">
        <x:v>Battery Module</x:v>
      </x:c>
      <x:c r="E42" t="n">
        <x:v>955</x:v>
      </x:c>
      <x:c r="F42" t="n">
        <x:v>1082</x:v>
      </x:c>
      <x:c r="G42" t="n">
        <x:v>982</x:v>
      </x:c>
      <x:c r="H42" t="n">
        <x:v>14</x:v>
      </x:c>
      <x:c r="I42" t="n">
        <x:v>17</x:v>
      </x:c>
      <x:c r="J42" t="n">
        <x:v>5</x:v>
      </x:c>
      <x:c r="K42" s="10" t="n">
        <x:v>120</x:v>
      </x:c>
      <x:c r="L42" t="n">
        <x:v>0</x:v>
      </x:c>
      <x:c r="M42" s="12" t="n">
        <x:v>0.9075785582255084</x:v>
      </x:c>
      <x:c r="N42" s="12" t="n">
        <x:v>0.0050916496945010185</x:v>
      </x:c>
    </x:row>
    <x:row r="43">
      <x:c r="A43" s="8" t="n">
        <x:v>45901</x:v>
      </x:c>
      <x:c r="B43" t="str">
        <x:v>S02</x:v>
      </x:c>
      <x:c r="C43" t="str">
        <x:v>DriveCore Systems</x:v>
      </x:c>
      <x:c r="D43" t="str">
        <x:v>Motor Assembly</x:v>
      </x:c>
      <x:c r="E43" t="n">
        <x:v>800</x:v>
      </x:c>
      <x:c r="F43" t="n">
        <x:v>821</x:v>
      </x:c>
      <x:c r="G43" t="n">
        <x:v>821</x:v>
      </x:c>
      <x:c r="H43" t="n">
        <x:v>18</x:v>
      </x:c>
      <x:c r="I43" t="n">
        <x:v>23</x:v>
      </x:c>
      <x:c r="J43" t="n">
        <x:v>26</x:v>
      </x:c>
      <x:c r="K43" s="10" t="n">
        <x:v>180</x:v>
      </x:c>
      <x:c r="L43" t="n">
        <x:v>0</x:v>
      </x:c>
      <x:c r="M43" s="12" t="n">
        <x:v>1</x:v>
      </x:c>
      <x:c r="N43" s="12" t="n">
        <x:v>0.031668696711327646</x:v>
      </x:c>
    </x:row>
    <x:row r="44">
      <x:c r="A44" s="8" t="n">
        <x:v>45901</x:v>
      </x:c>
      <x:c r="B44" t="str">
        <x:v>S03</x:v>
      </x:c>
      <x:c r="C44" t="str">
        <x:v>PowerLogic Electronics</x:v>
      </x:c>
      <x:c r="D44" t="str">
        <x:v>Inverter</x:v>
      </x:c>
      <x:c r="E44" t="n">
        <x:v>942</x:v>
      </x:c>
      <x:c r="F44" t="n">
        <x:v>981</x:v>
      </x:c>
      <x:c r="G44" t="n">
        <x:v>931</x:v>
      </x:c>
      <x:c r="H44" t="n">
        <x:v>12</x:v>
      </x:c>
      <x:c r="I44" t="n">
        <x:v>14</x:v>
      </x:c>
      <x:c r="J44" t="n">
        <x:v>35</x:v>
      </x:c>
      <x:c r="K44" s="10" t="n">
        <x:v>95</x:v>
      </x:c>
      <x:c r="L44" t="n">
        <x:v>0</x:v>
      </x:c>
      <x:c r="M44" s="12" t="n">
        <x:v>0.9490316004077471</x:v>
      </x:c>
      <x:c r="N44" s="12" t="n">
        <x:v>0.03759398496240601</x:v>
      </x:c>
    </x:row>
    <x:row r="45">
      <x:c r="A45" s="8" t="n">
        <x:v>45901</x:v>
      </x:c>
      <x:c r="B45" t="str">
        <x:v>S04</x:v>
      </x:c>
      <x:c r="C45" t="str">
        <x:v>ThermaFlow Industries</x:v>
      </x:c>
      <x:c r="D45" t="str">
        <x:v>Cooling Module</x:v>
      </x:c>
      <x:c r="E45" t="n">
        <x:v>760</x:v>
      </x:c>
      <x:c r="F45" t="n">
        <x:v>791</x:v>
      </x:c>
      <x:c r="G45" t="n">
        <x:v>712</x:v>
      </x:c>
      <x:c r="H45" t="n">
        <x:v>16</x:v>
      </x:c>
      <x:c r="I45" t="n">
        <x:v>13</x:v>
      </x:c>
      <x:c r="J45" t="n">
        <x:v>51</x:v>
      </x:c>
      <x:c r="K45" s="10" t="n">
        <x:v>140</x:v>
      </x:c>
      <x:c r="L45" t="n">
        <x:v>1</x:v>
      </x:c>
      <x:c r="M45" s="12" t="n">
        <x:v>0.900126422250316</x:v>
      </x:c>
      <x:c r="N45" s="12" t="n">
        <x:v>0.07162921348314606</x:v>
      </x:c>
    </x:row>
    <x:row r="46">
      <x:c r="A46" s="8" t="n">
        <x:v>45901</x:v>
      </x:c>
      <x:c r="B46" t="str">
        <x:v>S05</x:v>
      </x:c>
      <x:c r="C46" t="str">
        <x:v>AutoSense Technologies</x:v>
      </x:c>
      <x:c r="D46" t="str">
        <x:v>Sensor Kit</x:v>
      </x:c>
      <x:c r="E46" t="n">
        <x:v>1165</x:v>
      </x:c>
      <x:c r="F46" t="n">
        <x:v>1231</x:v>
      </x:c>
      <x:c r="G46" t="n">
        <x:v>1194</x:v>
      </x:c>
      <x:c r="H46" t="n">
        <x:v>10</x:v>
      </x:c>
      <x:c r="I46" t="n">
        <x:v>11</x:v>
      </x:c>
      <x:c r="J46" t="n">
        <x:v>2</x:v>
      </x:c>
      <x:c r="K46" s="10" t="n">
        <x:v>70</x:v>
      </x:c>
      <x:c r="L46" t="n">
        <x:v>0</x:v>
      </x:c>
      <x:c r="M46" s="12" t="n">
        <x:v>0.9699431356620634</x:v>
      </x:c>
      <x:c r="N46" s="12" t="n">
        <x:v>0.0016750418760469012</x:v>
      </x:c>
    </x:row>
    <x:row r="47">
      <x:c r="A47" s="8" t="n">
        <x:v>45931</x:v>
      </x:c>
      <x:c r="B47" t="str">
        <x:v>S01</x:v>
      </x:c>
      <x:c r="C47" t="str">
        <x:v>VoltCell Components</x:v>
      </x:c>
      <x:c r="D47" t="str">
        <x:v>Battery Module</x:v>
      </x:c>
      <x:c r="E47" t="n">
        <x:v>1198</x:v>
      </x:c>
      <x:c r="F47" t="n">
        <x:v>1246</x:v>
      </x:c>
      <x:c r="G47" t="n">
        <x:v>1158</x:v>
      </x:c>
      <x:c r="H47" t="n">
        <x:v>14</x:v>
      </x:c>
      <x:c r="I47" t="n">
        <x:v>19</x:v>
      </x:c>
      <x:c r="J47" t="n">
        <x:v>21</x:v>
      </x:c>
      <x:c r="K47" s="10" t="n">
        <x:v>120</x:v>
      </x:c>
      <x:c r="L47" t="n">
        <x:v>0</x:v>
      </x:c>
      <x:c r="M47" s="12" t="n">
        <x:v>0.9293739967897271</x:v>
      </x:c>
      <x:c r="N47" s="12" t="n">
        <x:v>0.018134715025906734</x:v>
      </x:c>
    </x:row>
    <x:row r="48">
      <x:c r="A48" s="8" t="n">
        <x:v>45931</x:v>
      </x:c>
      <x:c r="B48" t="str">
        <x:v>S02</x:v>
      </x:c>
      <x:c r="C48" t="str">
        <x:v>DriveCore Systems</x:v>
      </x:c>
      <x:c r="D48" t="str">
        <x:v>Motor Assembly</x:v>
      </x:c>
      <x:c r="E48" t="n">
        <x:v>1255</x:v>
      </x:c>
      <x:c r="F48" t="n">
        <x:v>1290</x:v>
      </x:c>
      <x:c r="G48" t="n">
        <x:v>1201</x:v>
      </x:c>
      <x:c r="H48" t="n">
        <x:v>18</x:v>
      </x:c>
      <x:c r="I48" t="n">
        <x:v>22</x:v>
      </x:c>
      <x:c r="J48" t="n">
        <x:v>63</x:v>
      </x:c>
      <x:c r="K48" s="10" t="n">
        <x:v>180</x:v>
      </x:c>
      <x:c r="L48" t="n">
        <x:v>0</x:v>
      </x:c>
      <x:c r="M48" s="12" t="n">
        <x:v>0.9310077519379845</x:v>
      </x:c>
      <x:c r="N48" s="12" t="n">
        <x:v>0.05245628642797669</x:v>
      </x:c>
    </x:row>
    <x:row r="49">
      <x:c r="A49" s="8" t="n">
        <x:v>45931</x:v>
      </x:c>
      <x:c r="B49" t="str">
        <x:v>S03</x:v>
      </x:c>
      <x:c r="C49" t="str">
        <x:v>PowerLogic Electronics</x:v>
      </x:c>
      <x:c r="D49" t="str">
        <x:v>Inverter</x:v>
      </x:c>
      <x:c r="E49" t="n">
        <x:v>1243</x:v>
      </x:c>
      <x:c r="F49" t="n">
        <x:v>1293</x:v>
      </x:c>
      <x:c r="G49" t="n">
        <x:v>1288</x:v>
      </x:c>
      <x:c r="H49" t="n">
        <x:v>12</x:v>
      </x:c>
      <x:c r="I49" t="n">
        <x:v>15</x:v>
      </x:c>
      <x:c r="J49" t="n">
        <x:v>42</x:v>
      </x:c>
      <x:c r="K49" s="10" t="n">
        <x:v>95</x:v>
      </x:c>
      <x:c r="L49" t="n">
        <x:v>0</x:v>
      </x:c>
      <x:c r="M49" s="12" t="n">
        <x:v>0.9961330239752514</x:v>
      </x:c>
      <x:c r="N49" s="12" t="n">
        <x:v>0.03260869565217391</x:v>
      </x:c>
    </x:row>
    <x:row r="50">
      <x:c r="A50" s="8" t="n">
        <x:v>45931</x:v>
      </x:c>
      <x:c r="B50" t="str">
        <x:v>S04</x:v>
      </x:c>
      <x:c r="C50" t="str">
        <x:v>ThermaFlow Industries</x:v>
      </x:c>
      <x:c r="D50" t="str">
        <x:v>Cooling Module</x:v>
      </x:c>
      <x:c r="E50" t="n">
        <x:v>769</x:v>
      </x:c>
      <x:c r="F50" t="n">
        <x:v>851</x:v>
      </x:c>
      <x:c r="G50" t="n">
        <x:v>786</x:v>
      </x:c>
      <x:c r="H50" t="n">
        <x:v>16</x:v>
      </x:c>
      <x:c r="I50" t="n">
        <x:v>21</x:v>
      </x:c>
      <x:c r="J50" t="n">
        <x:v>56</x:v>
      </x:c>
      <x:c r="K50" s="10" t="n">
        <x:v>140</x:v>
      </x:c>
      <x:c r="L50" t="n">
        <x:v>0</x:v>
      </x:c>
      <x:c r="M50" s="12" t="n">
        <x:v>0.9236192714453584</x:v>
      </x:c>
      <x:c r="N50" s="12" t="n">
        <x:v>0.07124681933842239</x:v>
      </x:c>
    </x:row>
    <x:row r="51">
      <x:c r="A51" s="8" t="n">
        <x:v>45931</x:v>
      </x:c>
      <x:c r="B51" t="str">
        <x:v>S05</x:v>
      </x:c>
      <x:c r="C51" t="str">
        <x:v>AutoSense Technologies</x:v>
      </x:c>
      <x:c r="D51" t="str">
        <x:v>Sensor Kit</x:v>
      </x:c>
      <x:c r="E51" t="n">
        <x:v>952</x:v>
      </x:c>
      <x:c r="F51" t="n">
        <x:v>1042</x:v>
      </x:c>
      <x:c r="G51" t="n">
        <x:v>942</x:v>
      </x:c>
      <x:c r="H51" t="n">
        <x:v>10</x:v>
      </x:c>
      <x:c r="I51" t="n">
        <x:v>15</x:v>
      </x:c>
      <x:c r="J51" t="n">
        <x:v>15</x:v>
      </x:c>
      <x:c r="K51" s="10" t="n">
        <x:v>70</x:v>
      </x:c>
      <x:c r="L51" t="n">
        <x:v>0</x:v>
      </x:c>
      <x:c r="M51" s="12" t="n">
        <x:v>0.9040307101727447</x:v>
      </x:c>
      <x:c r="N51" s="12" t="n">
        <x:v>0.01592356687898089</x:v>
      </x:c>
    </x:row>
    <x:row r="52">
      <x:c r="A52" s="8" t="n">
        <x:v>45962</x:v>
      </x:c>
      <x:c r="B52" t="str">
        <x:v>S01</x:v>
      </x:c>
      <x:c r="C52" t="str">
        <x:v>VoltCell Components</x:v>
      </x:c>
      <x:c r="D52" t="str">
        <x:v>Battery Module</x:v>
      </x:c>
      <x:c r="E52" t="n">
        <x:v>1278</x:v>
      </x:c>
      <x:c r="F52" t="n">
        <x:v>1390</x:v>
      </x:c>
      <x:c r="G52" t="n">
        <x:v>1381</x:v>
      </x:c>
      <x:c r="H52" t="n">
        <x:v>14</x:v>
      </x:c>
      <x:c r="I52" t="n">
        <x:v>17</x:v>
      </x:c>
      <x:c r="J52" t="n">
        <x:v>44</x:v>
      </x:c>
      <x:c r="K52" s="10" t="n">
        <x:v>120</x:v>
      </x:c>
      <x:c r="L52" t="n">
        <x:v>0</x:v>
      </x:c>
      <x:c r="M52" s="12" t="n">
        <x:v>0.9935251798561151</x:v>
      </x:c>
      <x:c r="N52" s="12" t="n">
        <x:v>0.03186097031136857</x:v>
      </x:c>
    </x:row>
    <x:row r="53">
      <x:c r="A53" s="8" t="n">
        <x:v>45962</x:v>
      </x:c>
      <x:c r="B53" t="str">
        <x:v>S02</x:v>
      </x:c>
      <x:c r="C53" t="str">
        <x:v>DriveCore Systems</x:v>
      </x:c>
      <x:c r="D53" t="str">
        <x:v>Motor Assembly</x:v>
      </x:c>
      <x:c r="E53" t="n">
        <x:v>944</x:v>
      </x:c>
      <x:c r="F53" t="n">
        <x:v>995</x:v>
      </x:c>
      <x:c r="G53" t="n">
        <x:v>909</x:v>
      </x:c>
      <x:c r="H53" t="n">
        <x:v>18</x:v>
      </x:c>
      <x:c r="I53" t="n">
        <x:v>18</x:v>
      </x:c>
      <x:c r="J53" t="n">
        <x:v>39</x:v>
      </x:c>
      <x:c r="K53" s="10" t="n">
        <x:v>180</x:v>
      </x:c>
      <x:c r="L53" t="n">
        <x:v>1</x:v>
      </x:c>
      <x:c r="M53" s="12" t="n">
        <x:v>0.91356783919598</x:v>
      </x:c>
      <x:c r="N53" s="12" t="n">
        <x:v>0.0429042904290429</x:v>
      </x:c>
    </x:row>
    <x:row r="54">
      <x:c r="A54" s="8" t="n">
        <x:v>45962</x:v>
      </x:c>
      <x:c r="B54" t="str">
        <x:v>S03</x:v>
      </x:c>
      <x:c r="C54" t="str">
        <x:v>PowerLogic Electronics</x:v>
      </x:c>
      <x:c r="D54" t="str">
        <x:v>Inverter</x:v>
      </x:c>
      <x:c r="E54" t="n">
        <x:v>774</x:v>
      </x:c>
      <x:c r="F54" t="n">
        <x:v>790</x:v>
      </x:c>
      <x:c r="G54" t="n">
        <x:v>760</x:v>
      </x:c>
      <x:c r="H54" t="n">
        <x:v>12</x:v>
      </x:c>
      <x:c r="I54" t="n">
        <x:v>12</x:v>
      </x:c>
      <x:c r="J54" t="n">
        <x:v>22</x:v>
      </x:c>
      <x:c r="K54" s="10" t="n">
        <x:v>95</x:v>
      </x:c>
      <x:c r="L54" t="n">
        <x:v>1</x:v>
      </x:c>
      <x:c r="M54" s="12" t="n">
        <x:v>0.9620253164556962</x:v>
      </x:c>
      <x:c r="N54" s="12" t="n">
        <x:v>0.02894736842105263</x:v>
      </x:c>
    </x:row>
    <x:row r="55">
      <x:c r="A55" s="8" t="n">
        <x:v>45962</x:v>
      </x:c>
      <x:c r="B55" t="str">
        <x:v>S04</x:v>
      </x:c>
      <x:c r="C55" t="str">
        <x:v>ThermaFlow Industries</x:v>
      </x:c>
      <x:c r="D55" t="str">
        <x:v>Cooling Module</x:v>
      </x:c>
      <x:c r="E55" t="n">
        <x:v>1250</x:v>
      </x:c>
      <x:c r="F55" t="n">
        <x:v>1309</x:v>
      </x:c>
      <x:c r="G55" t="n">
        <x:v>1213</x:v>
      </x:c>
      <x:c r="H55" t="n">
        <x:v>16</x:v>
      </x:c>
      <x:c r="I55" t="n">
        <x:v>22</x:v>
      </x:c>
      <x:c r="J55" t="n">
        <x:v>65</x:v>
      </x:c>
      <x:c r="K55" s="10" t="n">
        <x:v>140</x:v>
      </x:c>
      <x:c r="L55" t="n">
        <x:v>0</x:v>
      </x:c>
      <x:c r="M55" s="12" t="n">
        <x:v>0.9266615737203973</x:v>
      </x:c>
      <x:c r="N55" s="12" t="n">
        <x:v>0.05358615004122012</x:v>
      </x:c>
    </x:row>
    <x:row r="56">
      <x:c r="A56" s="8" t="n">
        <x:v>45962</x:v>
      </x:c>
      <x:c r="B56" t="str">
        <x:v>S05</x:v>
      </x:c>
      <x:c r="C56" t="str">
        <x:v>AutoSense Technologies</x:v>
      </x:c>
      <x:c r="D56" t="str">
        <x:v>Sensor Kit</x:v>
      </x:c>
      <x:c r="E56" t="n">
        <x:v>950</x:v>
      </x:c>
      <x:c r="F56" t="n">
        <x:v>1014</x:v>
      </x:c>
      <x:c r="G56" t="n">
        <x:v>929</x:v>
      </x:c>
      <x:c r="H56" t="n">
        <x:v>10</x:v>
      </x:c>
      <x:c r="I56" t="n">
        <x:v>13</x:v>
      </x:c>
      <x:c r="J56" t="n">
        <x:v>2</x:v>
      </x:c>
      <x:c r="K56" s="10" t="n">
        <x:v>70</x:v>
      </x:c>
      <x:c r="L56" t="n">
        <x:v>0</x:v>
      </x:c>
      <x:c r="M56" s="12" t="n">
        <x:v>0.9161735700197239</x:v>
      </x:c>
      <x:c r="N56" s="12" t="n">
        <x:v>0.002152852529601722</x:v>
      </x:c>
    </x:row>
    <x:row r="57">
      <x:c r="A57" s="8" t="n">
        <x:v>45992</x:v>
      </x:c>
      <x:c r="B57" t="str">
        <x:v>S01</x:v>
      </x:c>
      <x:c r="C57" t="str">
        <x:v>VoltCell Components</x:v>
      </x:c>
      <x:c r="D57" t="str">
        <x:v>Battery Module</x:v>
      </x:c>
      <x:c r="E57" t="n">
        <x:v>1241</x:v>
      </x:c>
      <x:c r="F57" t="n">
        <x:v>1267</x:v>
      </x:c>
      <x:c r="G57" t="n">
        <x:v>1244</x:v>
      </x:c>
      <x:c r="H57" t="n">
        <x:v>14</x:v>
      </x:c>
      <x:c r="I57" t="n">
        <x:v>14</x:v>
      </x:c>
      <x:c r="J57" t="n">
        <x:v>39</x:v>
      </x:c>
      <x:c r="K57" s="10" t="n">
        <x:v>120</x:v>
      </x:c>
      <x:c r="L57" t="n">
        <x:v>1</x:v>
      </x:c>
      <x:c r="M57" s="12" t="n">
        <x:v>0.9818468823993686</x:v>
      </x:c>
      <x:c r="N57" s="12" t="n">
        <x:v>0.03135048231511254</x:v>
      </x:c>
    </x:row>
    <x:row r="58">
      <x:c r="A58" s="8" t="n">
        <x:v>45992</x:v>
      </x:c>
      <x:c r="B58" t="str">
        <x:v>S02</x:v>
      </x:c>
      <x:c r="C58" t="str">
        <x:v>DriveCore Systems</x:v>
      </x:c>
      <x:c r="D58" t="str">
        <x:v>Motor Assembly</x:v>
      </x:c>
      <x:c r="E58" t="n">
        <x:v>837</x:v>
      </x:c>
      <x:c r="F58" t="n">
        <x:v>882</x:v>
      </x:c>
      <x:c r="G58" t="n">
        <x:v>872</x:v>
      </x:c>
      <x:c r="H58" t="n">
        <x:v>18</x:v>
      </x:c>
      <x:c r="I58" t="n">
        <x:v>19</x:v>
      </x:c>
      <x:c r="J58" t="n">
        <x:v>40</x:v>
      </x:c>
      <x:c r="K58" s="10" t="n">
        <x:v>180</x:v>
      </x:c>
      <x:c r="L58" t="n">
        <x:v>0</x:v>
      </x:c>
      <x:c r="M58" s="12" t="n">
        <x:v>0.9886621315192744</x:v>
      </x:c>
      <x:c r="N58" s="12" t="n">
        <x:v>0.045871559633027525</x:v>
      </x:c>
    </x:row>
    <x:row r="59">
      <x:c r="A59" s="8" t="n">
        <x:v>45992</x:v>
      </x:c>
      <x:c r="B59" t="str">
        <x:v>S03</x:v>
      </x:c>
      <x:c r="C59" t="str">
        <x:v>PowerLogic Electronics</x:v>
      </x:c>
      <x:c r="D59" t="str">
        <x:v>Inverter</x:v>
      </x:c>
      <x:c r="E59" t="n">
        <x:v>988</x:v>
      </x:c>
      <x:c r="F59" t="n">
        <x:v>1085</x:v>
      </x:c>
      <x:c r="G59" t="n">
        <x:v>1054</x:v>
      </x:c>
      <x:c r="H59" t="n">
        <x:v>12</x:v>
      </x:c>
      <x:c r="I59" t="n">
        <x:v>15</x:v>
      </x:c>
      <x:c r="J59" t="n">
        <x:v>43</x:v>
      </x:c>
      <x:c r="K59" s="10" t="n">
        <x:v>95</x:v>
      </x:c>
      <x:c r="L59" t="n">
        <x:v>0</x:v>
      </x:c>
      <x:c r="M59" s="12" t="n">
        <x:v>0.9714285714285714</x:v>
      </x:c>
      <x:c r="N59" s="12" t="n">
        <x:v>0.04079696394686907</x:v>
      </x:c>
    </x:row>
    <x:row r="60">
      <x:c r="A60" s="8" t="n">
        <x:v>45992</x:v>
      </x:c>
      <x:c r="B60" t="str">
        <x:v>S04</x:v>
      </x:c>
      <x:c r="C60" t="str">
        <x:v>ThermaFlow Industries</x:v>
      </x:c>
      <x:c r="D60" t="str">
        <x:v>Cooling Module</x:v>
      </x:c>
      <x:c r="E60" t="n">
        <x:v>970</x:v>
      </x:c>
      <x:c r="F60" t="n">
        <x:v>1053</x:v>
      </x:c>
      <x:c r="G60" t="n">
        <x:v>974</x:v>
      </x:c>
      <x:c r="H60" t="n">
        <x:v>16</x:v>
      </x:c>
      <x:c r="I60" t="n">
        <x:v>18</x:v>
      </x:c>
      <x:c r="J60" t="n">
        <x:v>57</x:v>
      </x:c>
      <x:c r="K60" s="10" t="n">
        <x:v>140</x:v>
      </x:c>
      <x:c r="L60" t="n">
        <x:v>0</x:v>
      </x:c>
      <x:c r="M60" s="12" t="n">
        <x:v>0.9249762583095916</x:v>
      </x:c>
      <x:c r="N60" s="12" t="n">
        <x:v>0.058521560574948665</x:v>
      </x:c>
    </x:row>
    <x:row r="61">
      <x:c r="A61" s="8" t="n">
        <x:v>45992</x:v>
      </x:c>
      <x:c r="B61" t="str">
        <x:v>S05</x:v>
      </x:c>
      <x:c r="C61" t="str">
        <x:v>AutoSense Technologies</x:v>
      </x:c>
      <x:c r="D61" t="str">
        <x:v>Sensor Kit</x:v>
      </x:c>
      <x:c r="E61" t="n">
        <x:v>1133</x:v>
      </x:c>
      <x:c r="F61" t="n">
        <x:v>1277</x:v>
      </x:c>
      <x:c r="G61" t="n">
        <x:v>1155</x:v>
      </x:c>
      <x:c r="H61" t="n">
        <x:v>10</x:v>
      </x:c>
      <x:c r="I61" t="n">
        <x:v>11</x:v>
      </x:c>
      <x:c r="J61" t="n">
        <x:v>16</x:v>
      </x:c>
      <x:c r="K61" s="10" t="n">
        <x:v>70</x:v>
      </x:c>
      <x:c r="L61" t="n">
        <x:v>0</x:v>
      </x:c>
      <x:c r="M61" s="12" t="n">
        <x:v>0.9044635865309318</x:v>
      </x:c>
      <x:c r="N61" s="12" t="n">
        <x:v>0.013852813852813853</x:v>
      </x:c>
    </x:row>
  </x:sheetData>
  <x:pageMargins left="0.7" right="0.7" top="0.75" bottom="0.75" header="0.3" footer="0.3"/>
  <x:tableParts count="1">
    <x:tablePart xmlns:r="http://schemas.openxmlformats.org/officeDocument/2006/relationships" r:id="Rcb3cc7a3f02944d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8.880000114440918" hidden="0" customWidth="1"/>
    <x:col min="2" max="2" width="24" hidden="0" customWidth="1"/>
    <x:col min="3" max="3" width="12.75" hidden="0" customWidth="1"/>
    <x:col min="4" max="4" width="11.5" hidden="0" customWidth="1"/>
    <x:col min="5" max="5" width="14.630000114440918" hidden="0" customWidth="1"/>
    <x:col min="6" max="6" width="5.630000114440918" hidden="0" customWidth="1"/>
    <x:col min="7" max="7" width="8.380000114440918" hidden="0" customWidth="1"/>
    <x:col min="8" max="8" width="11.130000114440918" hidden="0" customWidth="1"/>
    <x:col min="9" max="9" width="13.630000114440918" hidden="0" customWidth="1"/>
    <x:col min="10" max="10" width="11.380000114440918" hidden="0" customWidth="1"/>
  </x:cols>
  <x:sheetData>
    <x:row r="1">
      <x:c r="A1" s="4" t="str">
        <x:v>Supplier ID</x:v>
      </x:c>
      <x:c r="B1" s="4" t="str">
        <x:v>Supplier</x:v>
      </x:c>
      <x:c r="C1" s="4" t="str">
        <x:v>Component</x:v>
      </x:c>
      <x:c r="D1" s="4" t="str">
        <x:v>Avg Lead Time</x:v>
      </x:c>
      <x:c r="E1" s="4" t="str">
        <x:v>Lead-Time Std Dev</x:v>
      </x:c>
      <x:c r="F1" s="4" t="str">
        <x:v>OTD %</x:v>
      </x:c>
      <x:c r="G1" s="4" t="str">
        <x:v>Fill Rate %</x:v>
      </x:c>
      <x:c r="H1" s="4" t="str">
        <x:v>Defect Rate %</x:v>
      </x:c>
      <x:c r="I1" s="4" t="str">
        <x:v>Annual Spend ($)</x:v>
      </x:c>
      <x:c r="J1" s="4" t="str">
        <x:v>Supplier Score</x:v>
      </x:c>
    </x:row>
    <x:row r="2">
      <x:c r="A2" t="str">
        <x:v>S01</x:v>
      </x:c>
      <x:c r="B2" t="str">
        <x:v>VoltCell Components</x:v>
      </x:c>
      <x:c r="C2" t="str">
        <x:v>Battery Module</x:v>
      </x:c>
      <x:c r="D2" t="n">
        <x:f>SUMIF(Supplier_Data!$B$2:$B$61,A2,Supplier_Data!$I$2:$I$61)/COUNTIF(Supplier_Data!$B$2:$B$61,A2)</x:f>
        <x:v>15.666666666666666</x:v>
      </x:c>
      <x:c r="E2" t="n">
        <x:f>STDEV.S(Supplier_Data!I2,Supplier_Data!I7,Supplier_Data!I12,Supplier_Data!I17,Supplier_Data!I22,Supplier_Data!I27,Supplier_Data!I32,Supplier_Data!I37,Supplier_Data!I42,Supplier_Data!I47,Supplier_Data!I52,Supplier_Data!I57)</x:f>
        <x:v>1.775250729197189</x:v>
      </x:c>
      <x:c r="F2" s="12" t="n">
        <x:f>SUMIF(Supplier_Data!$B$2:$B$61,A2,Supplier_Data!$L$2:$L$61)/COUNTIF(Supplier_Data!$B$2:$B$61,A2)</x:f>
        <x:v>0.4166666666666667</x:v>
      </x:c>
      <x:c r="G2" s="12" t="n">
        <x:f>SUMIF(Supplier_Data!$B$2:$B$61,A2,Supplier_Data!$G$2:$G$61)/SUMIF(Supplier_Data!$B$2:$B$61,A2,Supplier_Data!$F$2:$F$61)</x:f>
        <x:v>0.9563997409885603</x:v>
      </x:c>
      <x:c r="H2" s="12" t="n">
        <x:f>SUMIF(Supplier_Data!$B$2:$B$61,A2,Supplier_Data!$J$2:$J$61)/SUMIF(Supplier_Data!$B$2:$B$61,A2,Supplier_Data!$G$2:$G$61)</x:f>
        <x:v>0.020311442112389978</x:v>
      </x:c>
      <x:c r="I2" s="14" t="n">
        <x:f>SUMPRODUCT((Supplier_Data!$B$2:$B$61=A2)*Supplier_Data!$G$2:$G$61*Supplier_Data!$K$2:$K$61)</x:f>
        <x:v>1595160</x:v>
      </x:c>
      <x:c r="J2" s="16" t="n">
        <x:f>F2*40+G2*25+(1-H2)*20+MAX(0,1-E2/5)*15</x:f>
        <x:v>69.84467916154131</x:v>
      </x:c>
    </x:row>
    <x:row r="3">
      <x:c r="A3" t="str">
        <x:v>S02</x:v>
      </x:c>
      <x:c r="B3" t="str">
        <x:v>DriveCore Systems</x:v>
      </x:c>
      <x:c r="C3" t="str">
        <x:v>Motor Assembly</x:v>
      </x:c>
      <x:c r="D3" t="n">
        <x:f>SUMIF(Supplier_Data!$B$2:$B$61,A3,Supplier_Data!$I$2:$I$61)/COUNTIF(Supplier_Data!$B$2:$B$61,A3)</x:f>
        <x:v>19.083333333333332</x:v>
      </x:c>
      <x:c r="E3" t="n">
        <x:f>STDEV.S(Supplier_Data!I3,Supplier_Data!I8,Supplier_Data!I13,Supplier_Data!I18,Supplier_Data!I23,Supplier_Data!I28,Supplier_Data!I33,Supplier_Data!I38,Supplier_Data!I43,Supplier_Data!I48,Supplier_Data!I53,Supplier_Data!I58)</x:f>
        <x:v>3.0587678248047214</x:v>
      </x:c>
      <x:c r="F3" s="12" t="n">
        <x:f>SUMIF(Supplier_Data!$B$2:$B$61,A3,Supplier_Data!$L$2:$L$61)/COUNTIF(Supplier_Data!$B$2:$B$61,A3)</x:f>
        <x:v>0.3333333333333333</x:v>
      </x:c>
      <x:c r="G3" s="12" t="n">
        <x:f>SUMIF(Supplier_Data!$B$2:$B$61,A3,Supplier_Data!$G$2:$G$61)/SUMIF(Supplier_Data!$B$2:$B$61,A3,Supplier_Data!$F$2:$F$61)</x:f>
        <x:v>0.9514160718397421</x:v>
      </x:c>
      <x:c r="H3" s="12" t="n">
        <x:f>SUMIF(Supplier_Data!$B$2:$B$61,A3,Supplier_Data!$J$2:$J$61)/SUMIF(Supplier_Data!$B$2:$B$61,A3,Supplier_Data!$G$2:$G$61)</x:f>
        <x:v>0.05033881897386254</x:v>
      </x:c>
      <x:c r="I3" s="14" t="n">
        <x:f>SUMPRODUCT((Supplier_Data!$B$2:$B$61=A3)*Supplier_Data!$G$2:$G$61*Supplier_Data!$K$2:$K$61)</x:f>
        <x:v>2231280</x:v>
      </x:c>
      <x:c r="J3" s="16" t="n">
        <x:f>F3*40+G3*25+(1-H3)*20+MAX(0,1-E3/5)*15</x:f>
        <x:v>61.935655275435465</x:v>
      </x:c>
    </x:row>
    <x:row r="4">
      <x:c r="A4" t="str">
        <x:v>S03</x:v>
      </x:c>
      <x:c r="B4" t="str">
        <x:v>PowerLogic Electronics</x:v>
      </x:c>
      <x:c r="C4" t="str">
        <x:v>Inverter</x:v>
      </x:c>
      <x:c r="D4" t="n">
        <x:f>SUMIF(Supplier_Data!$B$2:$B$61,A4,Supplier_Data!$I$2:$I$61)/COUNTIF(Supplier_Data!$B$2:$B$61,A4)</x:f>
        <x:v>13</x:v>
      </x:c>
      <x:c r="E4" t="n">
        <x:f>STDEV.S(Supplier_Data!I4,Supplier_Data!I9,Supplier_Data!I14,Supplier_Data!I19,Supplier_Data!I24,Supplier_Data!I29,Supplier_Data!I34,Supplier_Data!I39,Supplier_Data!I44,Supplier_Data!I49,Supplier_Data!I54,Supplier_Data!I59)</x:f>
        <x:v>3.0451153135353137</x:v>
      </x:c>
      <x:c r="F4" s="12" t="n">
        <x:f>SUMIF(Supplier_Data!$B$2:$B$61,A4,Supplier_Data!$L$2:$L$61)/COUNTIF(Supplier_Data!$B$2:$B$61,A4)</x:f>
        <x:v>0.3333333333333333</x:v>
      </x:c>
      <x:c r="G4" s="12" t="n">
        <x:f>SUMIF(Supplier_Data!$B$2:$B$61,A4,Supplier_Data!$G$2:$G$61)/SUMIF(Supplier_Data!$B$2:$B$61,A4,Supplier_Data!$F$2:$F$61)</x:f>
        <x:v>0.9452075246342192</x:v>
      </x:c>
      <x:c r="H4" s="12" t="n">
        <x:f>SUMIF(Supplier_Data!$B$2:$B$61,A4,Supplier_Data!$J$2:$J$61)/SUMIF(Supplier_Data!$B$2:$B$61,A4,Supplier_Data!$G$2:$G$61)</x:f>
        <x:v>0.03317011530563892</x:v>
      </x:c>
      <x:c r="I4" s="14" t="n">
        <x:f>SUMPRODUCT((Supplier_Data!$B$2:$B$61=A4)*Supplier_Data!$G$2:$G$61*Supplier_Data!$K$2:$K$61)</x:f>
        <x:v>1202890</x:v>
      </x:c>
      <x:c r="J4" s="16" t="n">
        <x:f>F4*40+G4*25+(1-H4)*20+MAX(0,1-E4/5)*15</x:f>
        <x:v>62.16477320247009</x:v>
      </x:c>
    </x:row>
    <x:row r="5">
      <x:c r="A5" t="str">
        <x:v>S04</x:v>
      </x:c>
      <x:c r="B5" t="str">
        <x:v>ThermaFlow Industries</x:v>
      </x:c>
      <x:c r="C5" t="str">
        <x:v>Cooling Module</x:v>
      </x:c>
      <x:c r="D5" t="n">
        <x:f>SUMIF(Supplier_Data!$B$2:$B$61,A5,Supplier_Data!$I$2:$I$61)/COUNTIF(Supplier_Data!$B$2:$B$61,A5)</x:f>
        <x:v>18</x:v>
      </x:c>
      <x:c r="E5" t="n">
        <x:f>STDEV.S(Supplier_Data!I5,Supplier_Data!I10,Supplier_Data!I15,Supplier_Data!I20,Supplier_Data!I25,Supplier_Data!I30,Supplier_Data!I35,Supplier_Data!I40,Supplier_Data!I45,Supplier_Data!I50,Supplier_Data!I55,Supplier_Data!I60)</x:f>
        <x:v>2.335496832484569</x:v>
      </x:c>
      <x:c r="F5" s="12" t="n">
        <x:f>SUMIF(Supplier_Data!$B$2:$B$61,A5,Supplier_Data!$L$2:$L$61)/COUNTIF(Supplier_Data!$B$2:$B$61,A5)</x:f>
        <x:v>0.25</x:v>
      </x:c>
      <x:c r="G5" s="12" t="n">
        <x:f>SUMIF(Supplier_Data!$B$2:$B$61,A5,Supplier_Data!$G$2:$G$61)/SUMIF(Supplier_Data!$B$2:$B$61,A5,Supplier_Data!$F$2:$F$61)</x:f>
        <x:v>0.9489278752436647</x:v>
      </x:c>
      <x:c r="H5" s="12" t="n">
        <x:f>SUMIF(Supplier_Data!$B$2:$B$61,A5,Supplier_Data!$J$2:$J$61)/SUMIF(Supplier_Data!$B$2:$B$61,A5,Supplier_Data!$G$2:$G$61)</x:f>
        <x:v>0.06031224322103533</x:v>
      </x:c>
      <x:c r="I5" s="14" t="n">
        <x:f>SUMPRODUCT((Supplier_Data!$B$2:$B$61=A5)*Supplier_Data!$G$2:$G$61*Supplier_Data!$K$2:$K$61)</x:f>
        <x:v>1703800</x:v>
      </x:c>
      <x:c r="J5" s="16" t="n">
        <x:f>F5*40+G5*25+(1-H5)*20+MAX(0,1-E5/5)*15</x:f>
        <x:v>60.51046151921721</x:v>
      </x:c>
    </x:row>
    <x:row r="6">
      <x:c r="A6" t="str">
        <x:v>S05</x:v>
      </x:c>
      <x:c r="B6" t="str">
        <x:v>AutoSense Technologies</x:v>
      </x:c>
      <x:c r="C6" t="str">
        <x:v>Sensor Kit</x:v>
      </x:c>
      <x:c r="D6" t="n">
        <x:f>SUMIF(Supplier_Data!$B$2:$B$61,A6,Supplier_Data!$I$2:$I$61)/COUNTIF(Supplier_Data!$B$2:$B$61,A6)</x:f>
        <x:v>12.583333333333334</x:v>
      </x:c>
      <x:c r="E6" t="n">
        <x:f>STDEV.S(Supplier_Data!I6,Supplier_Data!I11,Supplier_Data!I16,Supplier_Data!I21,Supplier_Data!I26,Supplier_Data!I31,Supplier_Data!I36,Supplier_Data!I41,Supplier_Data!I46,Supplier_Data!I51,Supplier_Data!I56,Supplier_Data!I61)</x:f>
        <x:v>2.466441431158124</x:v>
      </x:c>
      <x:c r="F6" s="12" t="n">
        <x:f>SUMIF(Supplier_Data!$B$2:$B$61,A6,Supplier_Data!$L$2:$L$61)/COUNTIF(Supplier_Data!$B$2:$B$61,A6)</x:f>
        <x:v>0.16666666666666666</x:v>
      </x:c>
      <x:c r="G6" s="12" t="n">
        <x:f>SUMIF(Supplier_Data!$B$2:$B$61,A6,Supplier_Data!$G$2:$G$61)/SUMIF(Supplier_Data!$B$2:$B$61,A6,Supplier_Data!$F$2:$F$61)</x:f>
        <x:v>0.9349382424671544</x:v>
      </x:c>
      <x:c r="H6" s="12" t="n">
        <x:f>SUMIF(Supplier_Data!$B$2:$B$61,A6,Supplier_Data!$J$2:$J$61)/SUMIF(Supplier_Data!$B$2:$B$61,A6,Supplier_Data!$G$2:$G$61)</x:f>
        <x:v>0.012285425782564793</x:v>
      </x:c>
      <x:c r="I6" s="14" t="n">
        <x:f>SUMPRODUCT((Supplier_Data!$B$2:$B$61=A6)*Supplier_Data!$G$2:$G$61*Supplier_Data!$K$2:$K$61)</x:f>
        <x:v>831880</x:v>
      </x:c>
      <x:c r="J6" s="16" t="n">
        <x:f>F6*40+G6*25+(1-H6)*20+MAX(0,1-E6/5)*15</x:f>
        <x:v>57.395089919219856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.75" hidden="0" customWidth="1"/>
    <x:col min="2" max="2" width="14.380000114440918" hidden="0" customWidth="1"/>
    <x:col min="3" max="3" width="20.25" hidden="0" customWidth="1"/>
    <x:col min="4" max="4" width="10.380000114440918" hidden="0" customWidth="1"/>
    <x:col min="5" max="5" width="11.130000114440918" hidden="0" customWidth="1"/>
    <x:col min="6" max="6" width="10.880000114440918" hidden="0" customWidth="1"/>
    <x:col min="7" max="7" width="17.25" hidden="0" customWidth="1"/>
    <x:col min="8" max="8" width="18.6299991607666" hidden="0" customWidth="1"/>
    <x:col min="9" max="9" width="16" hidden="0" customWidth="1"/>
  </x:cols>
  <x:sheetData>
    <x:row r="1">
      <x:c r="A1" s="4" t="str">
        <x:v>Component</x:v>
      </x:c>
      <x:c r="B1" s="4" t="str">
        <x:v>Avg Daily Demand</x:v>
      </x:c>
      <x:c r="C1" s="4" t="str">
        <x:v>Supplier Lead Time (Days)</x:v>
      </x:c>
      <x:c r="D1" s="4" t="str">
        <x:v>Safety Factor</x:v>
      </x:c>
      <x:c r="E1" s="4" t="str">
        <x:v>Container Qty</x:v>
      </x:c>
      <x:c r="F1" s="4" t="str">
        <x:v>Kanban Cards</x:v>
      </x:c>
      <x:c r="G1" s="4" t="str">
        <x:v>Current Avg Inventory</x:v>
      </x:c>
      <x:c r="H1" s="4" t="str">
        <x:v>Proposed Avg Inventory</x:v>
      </x:c>
      <x:c r="I1" s="4" t="str">
        <x:v>Inventory Reduction</x:v>
      </x:c>
    </x:row>
    <x:row r="2">
      <x:c r="A2" t="str">
        <x:v>Battery Module</x:v>
      </x:c>
      <x:c r="B2" t="n">
        <x:f>SUMIF(Supplier_Data!$B$2:$B$61,"S01",Supplier_Data!$E$2:$E$61)/12/22</x:f>
        <x:v>48.685606060606055</x:v>
      </x:c>
      <x:c r="C2" t="n">
        <x:v>14</x:v>
      </x:c>
      <x:c r="D2" s="18" t="n">
        <x:v>0.15</x:v>
      </x:c>
      <x:c r="E2" t="n">
        <x:v>100</x:v>
      </x:c>
      <x:c r="F2" t="n">
        <x:f>ROUNDUP((B2*C2*(1+D2))/E2,0)</x:f>
        <x:v>8</x:v>
      </x:c>
      <x:c r="G2" t="n">
        <x:f>B2*C2*1.55</x:f>
        <x:v>1056.4776515151514</x:v>
      </x:c>
      <x:c r="H2" t="n">
        <x:f>F2*E2</x:f>
        <x:v>800</x:v>
      </x:c>
      <x:c r="I2" s="12" t="n">
        <x:f>1-H2/G2</x:f>
        <x:v>0.24276675530932712</x:v>
      </x:c>
    </x:row>
    <x:row r="3">
      <x:c r="A3" t="str">
        <x:v>Motor Assembly</x:v>
      </x:c>
      <x:c r="B3" t="n">
        <x:f>SUMIF(Supplier_Data!$B$2:$B$61,"S02",Supplier_Data!$E$2:$E$61)/12/22</x:f>
        <x:v>45.87121212121212</x:v>
      </x:c>
      <x:c r="C3" t="n">
        <x:v>18</x:v>
      </x:c>
      <x:c r="D3" s="18" t="n">
        <x:v>0.15</x:v>
      </x:c>
      <x:c r="E3" t="n">
        <x:v>100</x:v>
      </x:c>
      <x:c r="F3" t="n">
        <x:f>ROUNDUP((B3*C3*(1+D3))/E3,0)</x:f>
        <x:v>10</x:v>
      </x:c>
      <x:c r="G3" t="n">
        <x:f>B3*C3*1.55</x:f>
        <x:v>1279.8068181818182</x:v>
      </x:c>
      <x:c r="H3" t="n">
        <x:f>F3*E3</x:f>
        <x:v>1000</x:v>
      </x:c>
      <x:c r="I3" s="12" t="n">
        <x:f>1-H3/G3</x:f>
        <x:v>0.21863207337755164</x:v>
      </x:c>
    </x:row>
    <x:row r="4">
      <x:c r="A4" t="str">
        <x:v>Inverter</x:v>
      </x:c>
      <x:c r="B4" t="n">
        <x:f>SUMIF(Supplier_Data!$B$2:$B$61,"S03",Supplier_Data!$E$2:$E$61)/12/22</x:f>
        <x:v>47.678030303030305</x:v>
      </x:c>
      <x:c r="C4" t="n">
        <x:v>12</x:v>
      </x:c>
      <x:c r="D4" s="18" t="n">
        <x:v>0.15</x:v>
      </x:c>
      <x:c r="E4" t="n">
        <x:v>100</x:v>
      </x:c>
      <x:c r="F4" t="n">
        <x:f>ROUNDUP((B4*C4*(1+D4))/E4,0)</x:f>
        <x:v>7</x:v>
      </x:c>
      <x:c r="G4" t="n">
        <x:f>B4*C4*1.55</x:f>
        <x:v>886.8113636363637</x:v>
      </x:c>
      <x:c r="H4" t="n">
        <x:f>F4*E4</x:f>
        <x:v>700</x:v>
      </x:c>
      <x:c r="I4" s="12" t="n">
        <x:f>1-H4/G4</x:f>
        <x:v>0.2106551306135107</x:v>
      </x:c>
    </x:row>
    <x:row r="5">
      <x:c r="A5" t="str">
        <x:v>Cooling Module</x:v>
      </x:c>
      <x:c r="B5" t="n">
        <x:f>SUMIF(Supplier_Data!$B$2:$B$61,"S04",Supplier_Data!$E$2:$E$61)/12/22</x:f>
        <x:v>45.265151515151516</x:v>
      </x:c>
      <x:c r="C5" t="n">
        <x:v>16</x:v>
      </x:c>
      <x:c r="D5" s="18" t="n">
        <x:v>0.15</x:v>
      </x:c>
      <x:c r="E5" t="n">
        <x:v>100</x:v>
      </x:c>
      <x:c r="F5" t="n">
        <x:f>ROUNDUP((B5*C5*(1+D5))/E5,0)</x:f>
        <x:v>9</x:v>
      </x:c>
      <x:c r="G5" t="n">
        <x:f>B5*C5*1.55</x:f>
        <x:v>1122.5757575757575</x:v>
      </x:c>
      <x:c r="H5" t="n">
        <x:f>F5*E5</x:f>
        <x:v>900</x:v>
      </x:c>
      <x:c r="I5" s="12" t="n">
        <x:f>1-H5/G5</x:f>
        <x:v>0.19827237144014032</x:v>
      </x:c>
    </x:row>
    <x:row r="6">
      <x:c r="A6" t="str">
        <x:v>Sensor Kit</x:v>
      </x:c>
      <x:c r="B6" t="n">
        <x:f>SUMIF(Supplier_Data!$B$2:$B$61,"S05",Supplier_Data!$E$2:$E$61)/12/22</x:f>
        <x:v>43.458333333333336</x:v>
      </x:c>
      <x:c r="C6" t="n">
        <x:v>10</x:v>
      </x:c>
      <x:c r="D6" s="18" t="n">
        <x:v>0.15</x:v>
      </x:c>
      <x:c r="E6" t="n">
        <x:v>150</x:v>
      </x:c>
      <x:c r="F6" t="n">
        <x:f>ROUNDUP((B6*C6*(1+D6))/E6,0)</x:f>
        <x:v>4</x:v>
      </x:c>
      <x:c r="G6" t="n">
        <x:f>B6*C6*1.55</x:f>
        <x:v>673.6041666666667</x:v>
      </x:c>
      <x:c r="H6" t="n">
        <x:f>F6*E6</x:f>
        <x:v>600</x:v>
      </x:c>
      <x:c r="I6" s="12" t="n">
        <x:f>1-H6/G6</x:f>
        <x:v>0.10926916772337869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1.25" hidden="0" customWidth="1"/>
    <x:col min="2" max="2" width="15" hidden="0" customWidth="1"/>
    <x:col min="3" max="3" width="15.130000114440918" hidden="0" customWidth="1"/>
    <x:col min="4" max="4" width="11" hidden="0" customWidth="1"/>
    <x:col min="5" max="5" width="14.25" hidden="0" customWidth="1"/>
    <x:col min="6" max="6" width="20.3799991607666" hidden="0" customWidth="1"/>
    <x:col min="7" max="7" width="16.3799991607666" hidden="0" customWidth="1"/>
    <x:col min="8" max="8" width="13.5" hidden="0" customWidth="1"/>
  </x:cols>
  <x:sheetData>
    <x:row r="1">
      <x:c r="A1" s="4" t="str">
        <x:v>Process Step</x:v>
      </x:c>
      <x:c r="B1" s="4" t="str">
        <x:v>Process Time (min)</x:v>
      </x:c>
      <x:c r="C1" s="4" t="str">
        <x:v>Waiting Time (min)</x:v>
      </x:c>
      <x:c r="D1" s="4" t="str">
        <x:v>Value Added?</x:v>
      </x:c>
      <x:c r="E1" s="4" t="str">
        <x:v>Current Travel (m)</x:v>
      </x:c>
      <x:c r="F1" s="4" t="str">
        <x:v>Future Process Time (min)</x:v>
      </x:c>
      <x:c r="G1" s="4" t="str">
        <x:v>Future Waiting (min)</x:v>
      </x:c>
      <x:c r="H1" s="4" t="str">
        <x:v>Future Travel (m)</x:v>
      </x:c>
      <x:c r="J1" s="21" t="str">
        <x:v>VSM KPI</x:v>
      </x:c>
      <x:c r="K1" s="21" t="str">
        <x:v>Improvement</x:v>
      </x:c>
    </x:row>
    <x:row r="2">
      <x:c r="A2" t="str">
        <x:v>Inbound Unloading</x:v>
      </x:c>
      <x:c r="B2" t="n">
        <x:v>35</x:v>
      </x:c>
      <x:c r="C2" t="n">
        <x:v>55</x:v>
      </x:c>
      <x:c r="D2" t="str">
        <x:v>Yes</x:v>
      </x:c>
      <x:c r="E2" t="n">
        <x:v>120</x:v>
      </x:c>
      <x:c r="F2" t="n">
        <x:v>30</x:v>
      </x:c>
      <x:c r="G2" t="n">
        <x:v>25</x:v>
      </x:c>
      <x:c r="H2" t="n">
        <x:v>90</x:v>
      </x:c>
      <x:c r="J2" t="str">
        <x:v>Total Lead Time</x:v>
      </x:c>
      <x:c r="K2" s="12" t="n">
        <x:f>1-(SUM(F2:F7)+SUM(G2:G7))/(SUM(B2:B7)+SUM(C2:C7))</x:f>
        <x:v>0.44795539033457255</x:v>
      </x:c>
    </x:row>
    <x:row r="3">
      <x:c r="A3" t="str">
        <x:v>Receiving &amp; Documentation</x:v>
      </x:c>
      <x:c r="B3" t="n">
        <x:v>25</x:v>
      </x:c>
      <x:c r="C3" t="n">
        <x:v>40</x:v>
      </x:c>
      <x:c r="D3" t="str">
        <x:v>No</x:v>
      </x:c>
      <x:c r="E3" t="n">
        <x:v>45</x:v>
      </x:c>
      <x:c r="F3" t="n">
        <x:v>18</x:v>
      </x:c>
      <x:c r="G3" t="n">
        <x:v>15</x:v>
      </x:c>
      <x:c r="H3" t="n">
        <x:v>30</x:v>
      </x:c>
      <x:c r="J3" t="str">
        <x:v>Waiting Time</x:v>
      </x:c>
      <x:c r="K3" s="12" t="n">
        <x:f>1-SUM(G2:G7)/SUM(C2:C7)</x:f>
        <x:v>0.5694444444444444</x:v>
      </x:c>
    </x:row>
    <x:row r="4">
      <x:c r="A4" t="str">
        <x:v>Quality Inspection</x:v>
      </x:c>
      <x:c r="B4" t="n">
        <x:v>40</x:v>
      </x:c>
      <x:c r="C4" t="n">
        <x:v>95</x:v>
      </x:c>
      <x:c r="D4" t="str">
        <x:v>Yes</x:v>
      </x:c>
      <x:c r="E4" t="n">
        <x:v>30</x:v>
      </x:c>
      <x:c r="F4" t="n">
        <x:v>32</x:v>
      </x:c>
      <x:c r="G4" t="n">
        <x:v>45</x:v>
      </x:c>
      <x:c r="H4" t="n">
        <x:v>25</x:v>
      </x:c>
      <x:c r="J4" t="str">
        <x:v>Process Time</x:v>
      </x:c>
      <x:c r="K4" s="12" t="n">
        <x:f>1-SUM(F2:F7)/SUM(B2:B7)</x:f>
        <x:v>0.202247191011236</x:v>
      </x:c>
    </x:row>
    <x:row r="5">
      <x:c r="A5" t="str">
        <x:v>Storage / Put-away</x:v>
      </x:c>
      <x:c r="B5" t="n">
        <x:v>30</x:v>
      </x:c>
      <x:c r="C5" t="n">
        <x:v>65</x:v>
      </x:c>
      <x:c r="D5" t="str">
        <x:v>No</x:v>
      </x:c>
      <x:c r="E5" t="n">
        <x:v>180</x:v>
      </x:c>
      <x:c r="F5" t="n">
        <x:v>22</x:v>
      </x:c>
      <x:c r="G5" t="n">
        <x:v>30</x:v>
      </x:c>
      <x:c r="H5" t="n">
        <x:v>100</x:v>
      </x:c>
      <x:c r="J5" t="str">
        <x:v>Travel Distance</x:v>
      </x:c>
      <x:c r="K5" s="12" t="n">
        <x:f>1-SUM(H2:H7)/SUM(E2:E7)</x:f>
        <x:v>0.37419354838709673</x:v>
      </x:c>
    </x:row>
    <x:row r="6">
      <x:c r="A6" t="str">
        <x:v>Line Replenishment</x:v>
      </x:c>
      <x:c r="B6" t="n">
        <x:v>28</x:v>
      </x:c>
      <x:c r="C6" t="n">
        <x:v>70</x:v>
      </x:c>
      <x:c r="D6" t="str">
        <x:v>Yes</x:v>
      </x:c>
      <x:c r="E6" t="n">
        <x:v>260</x:v>
      </x:c>
      <x:c r="F6" t="n">
        <x:v>22</x:v>
      </x:c>
      <x:c r="G6" t="n">
        <x:v>25</x:v>
      </x:c>
      <x:c r="H6" t="n">
        <x:v>150</x:v>
      </x:c>
      <x:c r="J6" t="str">
        <x:v>Value-Added Ratio</x:v>
      </x:c>
      <x:c r="K6" s="12" t="n">
        <x:f>(SUMIF(D2:D7,"Yes",F2:F7)/(SUM(F2:F7)+SUM(G2:G7)))-(SUMIF(D2:D7,"Yes",B2:B7)/(SUM(B2:B7)+SUM(C2:C7)))</x:f>
        <x:v>0.11480980811835831</x:v>
      </x:c>
    </x:row>
    <x:row r="7">
      <x:c r="A7" t="str">
        <x:v>Production Delivery</x:v>
      </x:c>
      <x:c r="B7" t="n">
        <x:v>20</x:v>
      </x:c>
      <x:c r="C7" t="n">
        <x:v>35</x:v>
      </x:c>
      <x:c r="D7" t="str">
        <x:v>Yes</x:v>
      </x:c>
      <x:c r="E7" t="n">
        <x:v>140</x:v>
      </x:c>
      <x:c r="F7" t="n">
        <x:v>18</x:v>
      </x:c>
      <x:c r="G7" t="n">
        <x:v>15</x:v>
      </x:c>
      <x:c r="H7" t="n">
        <x:v>90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8" hidden="0" customWidth="1"/>
  </x:cols>
  <x:sheetData>
    <x:row r="1">
      <x:c r="A1" s="27" t="str">
        <x:v>Lean Supply Chain &amp; Material Flow Optimization</x:v>
      </x:c>
      <x:c r="B1" s="27"/>
      <x:c r="C1" s="27"/>
      <x:c r="D1" s="27"/>
      <x:c r="E1" s="27"/>
      <x:c r="F1" s="27"/>
      <x:c r="G1" s="27"/>
      <x:c r="H1" s="27"/>
    </x:row>
    <x:row r="2">
      <x:c r="A2" s="27"/>
      <x:c r="B2" s="27"/>
      <x:c r="C2" s="27"/>
      <x:c r="D2" s="27"/>
      <x:c r="E2" s="27"/>
      <x:c r="F2" s="27"/>
      <x:c r="G2" s="27"/>
      <x:c r="H2" s="27"/>
    </x:row>
    <x:row r="4">
      <x:c r="A4" s="21" t="str">
        <x:v>Project KPI</x:v>
      </x:c>
      <x:c r="B4" s="21" t="str">
        <x:v>Result</x:v>
      </x:c>
    </x:row>
    <x:row r="5">
      <x:c r="A5" t="str">
        <x:v>Suppliers Analyzed</x:v>
      </x:c>
      <x:c r="B5" t="n">
        <x:v>5</x:v>
      </x:c>
    </x:row>
    <x:row r="6">
      <x:c r="A6" t="str">
        <x:v>Components Analyzed</x:v>
      </x:c>
      <x:c r="B6" t="n">
        <x:v>5</x:v>
      </x:c>
    </x:row>
    <x:row r="7">
      <x:c r="A7" t="str">
        <x:v>Material Flow Steps</x:v>
      </x:c>
      <x:c r="B7" t="n">
        <x:v>6</x:v>
      </x:c>
    </x:row>
    <x:row r="8">
      <x:c r="A8" t="str">
        <x:v>Inventory Reduction</x:v>
      </x:c>
      <x:c r="B8" s="32" t="n">
        <x:f>SUM(Kanban_Planning!G2:G6)-SUM(Kanban_Planning!H2:H6)</x:f>
        <x:v>1019.2757575757578</x:v>
      </x:c>
    </x:row>
    <x:row r="9">
      <x:c r="A9" t="str">
        <x:v>Material Lead-Time Reduction</x:v>
      </x:c>
      <x:c r="B9" s="12" t="n">
        <x:f>VSM!K2</x:f>
        <x:v>0.44795539033457255</x:v>
      </x:c>
    </x:row>
  </x:sheetData>
  <x:mergeCells>
    <x:mergeCell ref="A1:H2"/>
  </x:mergeCells>
  <x:pageMargins left="0.7" right="0.7" top="0.75" bottom="0.75" header="0.3" footer="0.3"/>
  <x:drawing xmlns:r="http://schemas.openxmlformats.org/officeDocument/2006/relationships" r:id="R8b8ed873c22b4bc1"/>
</x:worksheet>
</file>